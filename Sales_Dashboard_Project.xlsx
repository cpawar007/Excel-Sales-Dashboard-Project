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hidePivotFieldList="1" defaultThemeVersion="124226"/>
  <xr:revisionPtr revIDLastSave="0" documentId="8_{704B8BB6-B514-429B-95FD-88A8E84F528F}" xr6:coauthVersionLast="47" xr6:coauthVersionMax="47" xr10:uidLastSave="{00000000-0000-0000-0000-000000000000}"/>
  <bookViews>
    <workbookView xWindow="240" yWindow="15" windowWidth="16095" windowHeight="9660" firstSheet="5" activeTab="5" xr2:uid="{00000000-000D-0000-FFFF-FFFF00000000}"/>
  </bookViews>
  <sheets>
    <sheet name="RAW Data" sheetId="1" r:id="rId1"/>
    <sheet name="Formatting" sheetId="5" r:id="rId2"/>
    <sheet name="Missing Values" sheetId="6" r:id="rId3"/>
    <sheet name="Mis-spellings" sheetId="7" r:id="rId4"/>
    <sheet name="Corrected Table" sheetId="8" r:id="rId5"/>
    <sheet name="Dashboard" sheetId="4" r:id="rId6"/>
  </sheets>
  <definedNames>
    <definedName name="Slicer_Product">#N/A</definedName>
    <definedName name="Slicer_Region">#N/A</definedName>
  </definedNames>
  <calcPr calcId="191028"/>
  <pivotCaches>
    <pivotCache cacheId="748" r:id="rId7"/>
    <pivotCache cacheId="749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4" l="1"/>
  <c r="H10" i="4"/>
  <c r="F10" i="4"/>
  <c r="C10" i="4"/>
  <c r="M2" i="7" a="1"/>
  <c r="M2" i="7"/>
  <c r="I4" i="6"/>
  <c r="J4" i="6" s="1"/>
  <c r="K4" i="6" s="1" a="1"/>
  <c r="K4" i="6" s="1"/>
  <c r="L4" i="6" s="1"/>
  <c r="I5" i="6"/>
  <c r="J5" i="6" s="1"/>
  <c r="K5" i="6" s="1" a="1"/>
  <c r="K5" i="6" s="1"/>
  <c r="L5" i="6" s="1"/>
  <c r="I6" i="6"/>
  <c r="J6" i="6" s="1"/>
  <c r="K6" i="6" s="1" a="1"/>
  <c r="K6" i="6" s="1"/>
  <c r="L6" i="6" s="1"/>
  <c r="I7" i="6"/>
  <c r="J7" i="6" s="1"/>
  <c r="K7" i="6" s="1" a="1"/>
  <c r="K7" i="6" s="1"/>
  <c r="L7" i="6" s="1"/>
  <c r="I8" i="6"/>
  <c r="J8" i="6" s="1"/>
  <c r="K8" i="6" s="1" a="1"/>
  <c r="K8" i="6" s="1"/>
  <c r="L8" i="6" s="1"/>
  <c r="I9" i="6"/>
  <c r="J9" i="6" s="1"/>
  <c r="K9" i="6" s="1" a="1"/>
  <c r="K9" i="6" s="1"/>
  <c r="L9" i="6" s="1"/>
  <c r="I10" i="6"/>
  <c r="J10" i="6" s="1"/>
  <c r="K10" i="6" s="1" a="1"/>
  <c r="K10" i="6" s="1"/>
  <c r="L10" i="6" s="1"/>
  <c r="I11" i="6"/>
  <c r="J11" i="6" s="1"/>
  <c r="K11" i="6" s="1" a="1"/>
  <c r="K11" i="6" s="1"/>
  <c r="L11" i="6" s="1"/>
  <c r="I12" i="6"/>
  <c r="J12" i="6" s="1"/>
  <c r="K12" i="6" s="1" a="1"/>
  <c r="K12" i="6" s="1"/>
  <c r="L12" i="6" s="1"/>
  <c r="I13" i="6"/>
  <c r="J13" i="6" s="1"/>
  <c r="K13" i="6" s="1" a="1"/>
  <c r="K13" i="6" s="1"/>
  <c r="L13" i="6" s="1"/>
  <c r="I14" i="6"/>
  <c r="J14" i="6" s="1"/>
  <c r="K14" i="6" s="1" a="1"/>
  <c r="K14" i="6" s="1"/>
  <c r="L14" i="6" s="1"/>
  <c r="I15" i="6"/>
  <c r="J15" i="6" s="1"/>
  <c r="K15" i="6" s="1" a="1"/>
  <c r="K15" i="6" s="1"/>
  <c r="L15" i="6" s="1"/>
  <c r="I16" i="6"/>
  <c r="J16" i="6" s="1"/>
  <c r="K16" i="6" s="1" a="1"/>
  <c r="K16" i="6" s="1"/>
  <c r="L16" i="6" s="1"/>
  <c r="I17" i="6"/>
  <c r="J17" i="6" s="1"/>
  <c r="K17" i="6" s="1" a="1"/>
  <c r="K17" i="6" s="1"/>
  <c r="L17" i="6" s="1"/>
  <c r="I18" i="6"/>
  <c r="J18" i="6" s="1"/>
  <c r="K18" i="6" s="1" a="1"/>
  <c r="K18" i="6" s="1"/>
  <c r="L18" i="6" s="1"/>
  <c r="I19" i="6"/>
  <c r="J19" i="6" s="1"/>
  <c r="K19" i="6" s="1" a="1"/>
  <c r="K19" i="6" s="1"/>
  <c r="L19" i="6" s="1"/>
  <c r="I20" i="6"/>
  <c r="J20" i="6" s="1"/>
  <c r="K20" i="6" s="1" a="1"/>
  <c r="K20" i="6" s="1"/>
  <c r="L20" i="6" s="1"/>
  <c r="I21" i="6"/>
  <c r="J21" i="6" s="1"/>
  <c r="K21" i="6" s="1" a="1"/>
  <c r="K21" i="6" s="1"/>
  <c r="L21" i="6" s="1"/>
  <c r="I22" i="6"/>
  <c r="J22" i="6" s="1"/>
  <c r="K22" i="6" s="1" a="1"/>
  <c r="K22" i="6" s="1"/>
  <c r="L22" i="6" s="1"/>
  <c r="I23" i="6"/>
  <c r="J23" i="6" s="1"/>
  <c r="K23" i="6" s="1" a="1"/>
  <c r="K23" i="6" s="1"/>
  <c r="L23" i="6" s="1"/>
  <c r="I24" i="6"/>
  <c r="J24" i="6" s="1"/>
  <c r="K24" i="6" s="1" a="1"/>
  <c r="K24" i="6" s="1"/>
  <c r="L24" i="6" s="1"/>
  <c r="I25" i="6"/>
  <c r="J25" i="6" s="1"/>
  <c r="K25" i="6" s="1" a="1"/>
  <c r="K25" i="6" s="1"/>
  <c r="L25" i="6" s="1"/>
  <c r="I26" i="6"/>
  <c r="J26" i="6" s="1"/>
  <c r="K26" i="6" s="1" a="1"/>
  <c r="K26" i="6" s="1"/>
  <c r="L26" i="6" s="1"/>
  <c r="I27" i="6"/>
  <c r="J27" i="6" s="1"/>
  <c r="K27" i="6" s="1" a="1"/>
  <c r="K27" i="6" s="1"/>
  <c r="L27" i="6" s="1"/>
  <c r="I28" i="6"/>
  <c r="J28" i="6" s="1"/>
  <c r="K28" i="6" s="1" a="1"/>
  <c r="K28" i="6" s="1"/>
  <c r="L28" i="6" s="1"/>
  <c r="I29" i="6"/>
  <c r="J29" i="6" s="1"/>
  <c r="K29" i="6" s="1" a="1"/>
  <c r="K29" i="6" s="1"/>
  <c r="L29" i="6" s="1"/>
  <c r="I30" i="6"/>
  <c r="J30" i="6" s="1"/>
  <c r="K30" i="6" s="1" a="1"/>
  <c r="K30" i="6" s="1"/>
  <c r="L30" i="6" s="1"/>
  <c r="I31" i="6"/>
  <c r="J31" i="6" s="1"/>
  <c r="K31" i="6" s="1" a="1"/>
  <c r="K31" i="6" s="1"/>
  <c r="L31" i="6" s="1"/>
  <c r="I32" i="6"/>
  <c r="J32" i="6" s="1"/>
  <c r="K32" i="6" s="1" a="1"/>
  <c r="K32" i="6" s="1"/>
  <c r="L32" i="6" s="1"/>
  <c r="I33" i="6"/>
  <c r="J33" i="6" s="1"/>
  <c r="K33" i="6" s="1" a="1"/>
  <c r="K33" i="6" s="1"/>
  <c r="L33" i="6" s="1"/>
  <c r="I34" i="6"/>
  <c r="J34" i="6" s="1"/>
  <c r="K34" i="6" s="1" a="1"/>
  <c r="K34" i="6" s="1"/>
  <c r="L34" i="6" s="1"/>
  <c r="I35" i="6"/>
  <c r="J35" i="6" s="1"/>
  <c r="K35" i="6" s="1" a="1"/>
  <c r="K35" i="6" s="1"/>
  <c r="L35" i="6" s="1"/>
  <c r="I36" i="6"/>
  <c r="J36" i="6" s="1"/>
  <c r="K36" i="6" s="1" a="1"/>
  <c r="K36" i="6" s="1"/>
  <c r="L36" i="6" s="1"/>
  <c r="I37" i="6"/>
  <c r="J37" i="6" s="1"/>
  <c r="K37" i="6" s="1" a="1"/>
  <c r="K37" i="6" s="1"/>
  <c r="L37" i="6" s="1"/>
  <c r="I38" i="6"/>
  <c r="J38" i="6" s="1"/>
  <c r="K38" i="6" s="1" a="1"/>
  <c r="K38" i="6" s="1"/>
  <c r="L38" i="6" s="1"/>
  <c r="I39" i="6"/>
  <c r="J39" i="6" s="1"/>
  <c r="K39" i="6" s="1" a="1"/>
  <c r="K39" i="6" s="1"/>
  <c r="L39" i="6" s="1"/>
  <c r="I40" i="6"/>
  <c r="J40" i="6" s="1"/>
  <c r="K40" i="6" s="1" a="1"/>
  <c r="K40" i="6" s="1"/>
  <c r="L40" i="6" s="1"/>
  <c r="I41" i="6"/>
  <c r="J41" i="6" s="1"/>
  <c r="K41" i="6" s="1" a="1"/>
  <c r="K41" i="6" s="1"/>
  <c r="L41" i="6" s="1"/>
  <c r="I42" i="6"/>
  <c r="J42" i="6" s="1"/>
  <c r="K42" i="6" s="1" a="1"/>
  <c r="K42" i="6" s="1"/>
  <c r="L42" i="6" s="1"/>
  <c r="I43" i="6"/>
  <c r="J43" i="6" s="1"/>
  <c r="K43" i="6" s="1" a="1"/>
  <c r="K43" i="6" s="1"/>
  <c r="L43" i="6" s="1"/>
  <c r="I44" i="6"/>
  <c r="J44" i="6" s="1"/>
  <c r="K44" i="6" s="1" a="1"/>
  <c r="K44" i="6" s="1"/>
  <c r="L44" i="6" s="1"/>
  <c r="I45" i="6"/>
  <c r="J45" i="6" s="1"/>
  <c r="K45" i="6" s="1" a="1"/>
  <c r="K45" i="6" s="1"/>
  <c r="L45" i="6" s="1"/>
  <c r="I46" i="6"/>
  <c r="J46" i="6" s="1"/>
  <c r="K46" i="6" s="1" a="1"/>
  <c r="K46" i="6" s="1"/>
  <c r="L46" i="6" s="1"/>
  <c r="I47" i="6"/>
  <c r="J47" i="6" s="1"/>
  <c r="K47" i="6" s="1" a="1"/>
  <c r="K47" i="6" s="1"/>
  <c r="L47" i="6" s="1"/>
  <c r="I48" i="6"/>
  <c r="J48" i="6" s="1"/>
  <c r="K48" i="6" s="1" a="1"/>
  <c r="K48" i="6" s="1"/>
  <c r="L48" i="6" s="1"/>
  <c r="I49" i="6"/>
  <c r="J49" i="6" s="1"/>
  <c r="K49" i="6" s="1" a="1"/>
  <c r="K49" i="6" s="1"/>
  <c r="L49" i="6" s="1"/>
  <c r="I50" i="6"/>
  <c r="J50" i="6" s="1"/>
  <c r="K50" i="6" s="1" a="1"/>
  <c r="K50" i="6" s="1"/>
  <c r="L50" i="6" s="1"/>
  <c r="I51" i="6"/>
  <c r="J51" i="6" s="1"/>
  <c r="K51" i="6" s="1" a="1"/>
  <c r="K51" i="6" s="1"/>
  <c r="L51" i="6" s="1"/>
  <c r="I52" i="6"/>
  <c r="J52" i="6" s="1"/>
  <c r="K52" i="6" s="1" a="1"/>
  <c r="K52" i="6" s="1"/>
  <c r="L52" i="6" s="1"/>
  <c r="I53" i="6"/>
  <c r="J53" i="6" s="1"/>
  <c r="K53" i="6" s="1" a="1"/>
  <c r="K53" i="6" s="1"/>
  <c r="L53" i="6" s="1"/>
  <c r="I54" i="6"/>
  <c r="J54" i="6" s="1"/>
  <c r="K54" i="6" s="1" a="1"/>
  <c r="K54" i="6" s="1"/>
  <c r="L54" i="6" s="1"/>
  <c r="I55" i="6"/>
  <c r="J55" i="6" s="1"/>
  <c r="K55" i="6" s="1" a="1"/>
  <c r="K55" i="6" s="1"/>
  <c r="L55" i="6" s="1"/>
  <c r="I56" i="6"/>
  <c r="J56" i="6" s="1"/>
  <c r="K56" i="6" s="1" a="1"/>
  <c r="K56" i="6" s="1"/>
  <c r="L56" i="6" s="1"/>
  <c r="I57" i="6"/>
  <c r="J57" i="6" s="1"/>
  <c r="K57" i="6" s="1" a="1"/>
  <c r="K57" i="6" s="1"/>
  <c r="L57" i="6" s="1"/>
  <c r="I58" i="6"/>
  <c r="J58" i="6" s="1"/>
  <c r="K58" i="6" s="1" a="1"/>
  <c r="K58" i="6" s="1"/>
  <c r="L58" i="6" s="1"/>
  <c r="I59" i="6"/>
  <c r="J59" i="6" s="1"/>
  <c r="K59" i="6" s="1" a="1"/>
  <c r="K59" i="6" s="1"/>
  <c r="L59" i="6" s="1"/>
  <c r="I60" i="6"/>
  <c r="J60" i="6" s="1"/>
  <c r="K60" i="6" s="1" a="1"/>
  <c r="K60" i="6" s="1"/>
  <c r="L60" i="6" s="1"/>
  <c r="I61" i="6"/>
  <c r="J61" i="6" s="1"/>
  <c r="K61" i="6" s="1" a="1"/>
  <c r="K61" i="6" s="1"/>
  <c r="L61" i="6" s="1"/>
  <c r="I62" i="6"/>
  <c r="J62" i="6" s="1"/>
  <c r="K62" i="6" s="1" a="1"/>
  <c r="K62" i="6" s="1"/>
  <c r="L62" i="6" s="1"/>
  <c r="I63" i="6"/>
  <c r="J63" i="6" s="1"/>
  <c r="K63" i="6" s="1" a="1"/>
  <c r="K63" i="6" s="1"/>
  <c r="L63" i="6" s="1"/>
  <c r="I64" i="6"/>
  <c r="J64" i="6" s="1"/>
  <c r="K64" i="6" s="1" a="1"/>
  <c r="K64" i="6" s="1"/>
  <c r="L64" i="6" s="1"/>
  <c r="I65" i="6"/>
  <c r="J65" i="6" s="1"/>
  <c r="K65" i="6" s="1" a="1"/>
  <c r="K65" i="6" s="1"/>
  <c r="L65" i="6" s="1"/>
  <c r="I66" i="6"/>
  <c r="J66" i="6" s="1"/>
  <c r="K66" i="6" s="1" a="1"/>
  <c r="K66" i="6" s="1"/>
  <c r="L66" i="6" s="1"/>
  <c r="I67" i="6"/>
  <c r="J67" i="6" s="1"/>
  <c r="K67" i="6" s="1" a="1"/>
  <c r="K67" i="6" s="1"/>
  <c r="L67" i="6" s="1"/>
  <c r="I68" i="6"/>
  <c r="J68" i="6" s="1"/>
  <c r="K68" i="6" s="1" a="1"/>
  <c r="K68" i="6" s="1"/>
  <c r="L68" i="6" s="1"/>
  <c r="I69" i="6"/>
  <c r="J69" i="6" s="1"/>
  <c r="K69" i="6" s="1" a="1"/>
  <c r="K69" i="6" s="1"/>
  <c r="L69" i="6" s="1"/>
  <c r="I70" i="6"/>
  <c r="J70" i="6" s="1"/>
  <c r="K70" i="6" s="1" a="1"/>
  <c r="K70" i="6" s="1"/>
  <c r="L70" i="6" s="1"/>
  <c r="I71" i="6"/>
  <c r="J71" i="6" s="1"/>
  <c r="K71" i="6" s="1" a="1"/>
  <c r="K71" i="6" s="1"/>
  <c r="L71" i="6" s="1"/>
  <c r="I72" i="6"/>
  <c r="J72" i="6" s="1"/>
  <c r="K72" i="6" s="1" a="1"/>
  <c r="K72" i="6" s="1"/>
  <c r="L72" i="6" s="1"/>
  <c r="I73" i="6"/>
  <c r="J73" i="6" s="1"/>
  <c r="K73" i="6" s="1" a="1"/>
  <c r="K73" i="6" s="1"/>
  <c r="L73" i="6" s="1"/>
  <c r="I74" i="6"/>
  <c r="J74" i="6" s="1"/>
  <c r="K74" i="6" s="1" a="1"/>
  <c r="K74" i="6" s="1"/>
  <c r="L74" i="6" s="1"/>
  <c r="I75" i="6"/>
  <c r="J75" i="6" s="1"/>
  <c r="K75" i="6" s="1" a="1"/>
  <c r="K75" i="6" s="1"/>
  <c r="L75" i="6" s="1"/>
  <c r="I76" i="6"/>
  <c r="J76" i="6" s="1"/>
  <c r="K76" i="6" s="1" a="1"/>
  <c r="K76" i="6" s="1"/>
  <c r="L76" i="6" s="1"/>
  <c r="I77" i="6"/>
  <c r="J77" i="6" s="1"/>
  <c r="K77" i="6" s="1" a="1"/>
  <c r="K77" i="6" s="1"/>
  <c r="L77" i="6" s="1"/>
  <c r="I78" i="6"/>
  <c r="J78" i="6" s="1"/>
  <c r="K78" i="6" s="1" a="1"/>
  <c r="K78" i="6" s="1"/>
  <c r="L78" i="6" s="1"/>
  <c r="I79" i="6"/>
  <c r="J79" i="6" s="1"/>
  <c r="K79" i="6" s="1" a="1"/>
  <c r="K79" i="6" s="1"/>
  <c r="L79" i="6" s="1"/>
  <c r="I80" i="6"/>
  <c r="J80" i="6" s="1"/>
  <c r="K80" i="6" s="1" a="1"/>
  <c r="K80" i="6" s="1"/>
  <c r="L80" i="6" s="1"/>
  <c r="I81" i="6"/>
  <c r="J81" i="6" s="1"/>
  <c r="K81" i="6" s="1" a="1"/>
  <c r="K81" i="6" s="1"/>
  <c r="L81" i="6" s="1"/>
  <c r="I82" i="6"/>
  <c r="J82" i="6" s="1"/>
  <c r="K82" i="6" s="1" a="1"/>
  <c r="K82" i="6" s="1"/>
  <c r="L82" i="6" s="1"/>
  <c r="I83" i="6"/>
  <c r="J83" i="6" s="1"/>
  <c r="K83" i="6" s="1" a="1"/>
  <c r="K83" i="6" s="1"/>
  <c r="L83" i="6" s="1"/>
  <c r="I84" i="6"/>
  <c r="J84" i="6" s="1"/>
  <c r="K84" i="6" s="1" a="1"/>
  <c r="K84" i="6" s="1"/>
  <c r="L84" i="6" s="1"/>
  <c r="I85" i="6"/>
  <c r="J85" i="6" s="1"/>
  <c r="K85" i="6" s="1" a="1"/>
  <c r="K85" i="6" s="1"/>
  <c r="L85" i="6" s="1"/>
  <c r="I86" i="6"/>
  <c r="J86" i="6" s="1"/>
  <c r="K86" i="6" s="1" a="1"/>
  <c r="K86" i="6" s="1"/>
  <c r="L86" i="6" s="1"/>
  <c r="I87" i="6"/>
  <c r="J87" i="6" s="1"/>
  <c r="K87" i="6" s="1" a="1"/>
  <c r="K87" i="6" s="1"/>
  <c r="L87" i="6" s="1"/>
  <c r="I88" i="6"/>
  <c r="J88" i="6" s="1"/>
  <c r="K88" i="6" s="1" a="1"/>
  <c r="K88" i="6" s="1"/>
  <c r="L88" i="6" s="1"/>
  <c r="I89" i="6"/>
  <c r="J89" i="6" s="1"/>
  <c r="K89" i="6" s="1" a="1"/>
  <c r="K89" i="6" s="1"/>
  <c r="L89" i="6" s="1"/>
  <c r="I90" i="6"/>
  <c r="J90" i="6" s="1"/>
  <c r="K90" i="6" s="1" a="1"/>
  <c r="K90" i="6" s="1"/>
  <c r="L90" i="6" s="1"/>
  <c r="I91" i="6"/>
  <c r="J91" i="6" s="1"/>
  <c r="K91" i="6" s="1" a="1"/>
  <c r="K91" i="6" s="1"/>
  <c r="L91" i="6" s="1"/>
  <c r="I92" i="6"/>
  <c r="J92" i="6" s="1"/>
  <c r="K92" i="6" s="1" a="1"/>
  <c r="K92" i="6" s="1"/>
  <c r="L92" i="6" s="1"/>
  <c r="I93" i="6"/>
  <c r="J93" i="6" s="1"/>
  <c r="K93" i="6" s="1" a="1"/>
  <c r="K93" i="6" s="1"/>
  <c r="L93" i="6" s="1"/>
  <c r="I94" i="6"/>
  <c r="J94" i="6" s="1"/>
  <c r="K94" i="6" s="1" a="1"/>
  <c r="K94" i="6" s="1"/>
  <c r="L94" i="6" s="1"/>
  <c r="I95" i="6"/>
  <c r="J95" i="6" s="1"/>
  <c r="K95" i="6" s="1" a="1"/>
  <c r="K95" i="6" s="1"/>
  <c r="L95" i="6" s="1"/>
  <c r="I96" i="6"/>
  <c r="J96" i="6" s="1"/>
  <c r="K96" i="6" s="1" a="1"/>
  <c r="K96" i="6" s="1"/>
  <c r="L96" i="6" s="1"/>
  <c r="I97" i="6"/>
  <c r="J97" i="6" s="1"/>
  <c r="K97" i="6" s="1" a="1"/>
  <c r="K97" i="6" s="1"/>
  <c r="L97" i="6" s="1"/>
  <c r="I98" i="6"/>
  <c r="J98" i="6" s="1"/>
  <c r="K98" i="6" s="1" a="1"/>
  <c r="K98" i="6" s="1"/>
  <c r="L98" i="6" s="1"/>
  <c r="I99" i="6"/>
  <c r="J99" i="6" s="1"/>
  <c r="K99" i="6" s="1" a="1"/>
  <c r="K99" i="6" s="1"/>
  <c r="L99" i="6" s="1"/>
  <c r="I100" i="6"/>
  <c r="J100" i="6" s="1"/>
  <c r="K100" i="6" s="1" a="1"/>
  <c r="K100" i="6" s="1"/>
  <c r="L100" i="6" s="1"/>
  <c r="I101" i="6"/>
  <c r="J101" i="6" s="1"/>
  <c r="K101" i="6" s="1" a="1"/>
  <c r="K101" i="6" s="1"/>
  <c r="L101" i="6" s="1"/>
  <c r="I102" i="6"/>
  <c r="J102" i="6" s="1"/>
  <c r="K102" i="6" s="1" a="1"/>
  <c r="K102" i="6" s="1"/>
  <c r="L102" i="6" s="1"/>
  <c r="I103" i="6"/>
  <c r="J103" i="6" s="1"/>
  <c r="K103" i="6" s="1" a="1"/>
  <c r="K103" i="6" s="1"/>
  <c r="L103" i="6" s="1"/>
  <c r="I104" i="6"/>
  <c r="J104" i="6" s="1"/>
  <c r="K104" i="6" s="1" a="1"/>
  <c r="K104" i="6" s="1"/>
  <c r="L104" i="6" s="1"/>
  <c r="I105" i="6"/>
  <c r="J105" i="6" s="1"/>
  <c r="K105" i="6" s="1" a="1"/>
  <c r="K105" i="6" s="1"/>
  <c r="L105" i="6" s="1"/>
  <c r="I106" i="6"/>
  <c r="J106" i="6" s="1"/>
  <c r="K106" i="6" s="1" a="1"/>
  <c r="K106" i="6" s="1"/>
  <c r="L106" i="6" s="1"/>
  <c r="I107" i="6"/>
  <c r="J107" i="6" s="1"/>
  <c r="K107" i="6" s="1" a="1"/>
  <c r="K107" i="6" s="1"/>
  <c r="L107" i="6" s="1"/>
  <c r="I108" i="6"/>
  <c r="J108" i="6" s="1"/>
  <c r="K108" i="6" s="1" a="1"/>
  <c r="K108" i="6" s="1"/>
  <c r="L108" i="6" s="1"/>
  <c r="I109" i="6"/>
  <c r="J109" i="6" s="1"/>
  <c r="K109" i="6" s="1" a="1"/>
  <c r="K109" i="6" s="1"/>
  <c r="L109" i="6" s="1"/>
  <c r="I110" i="6"/>
  <c r="J110" i="6" s="1"/>
  <c r="K110" i="6" s="1" a="1"/>
  <c r="K110" i="6" s="1"/>
  <c r="L110" i="6" s="1"/>
  <c r="I111" i="6"/>
  <c r="J111" i="6" s="1"/>
  <c r="K111" i="6" s="1" a="1"/>
  <c r="K111" i="6" s="1"/>
  <c r="L111" i="6" s="1"/>
  <c r="I112" i="6"/>
  <c r="J112" i="6" s="1"/>
  <c r="K112" i="6" s="1" a="1"/>
  <c r="K112" i="6" s="1"/>
  <c r="L112" i="6" s="1"/>
  <c r="I113" i="6"/>
  <c r="J113" i="6" s="1"/>
  <c r="K113" i="6" s="1" a="1"/>
  <c r="K113" i="6" s="1"/>
  <c r="L113" i="6" s="1"/>
  <c r="I114" i="6"/>
  <c r="J114" i="6" s="1"/>
  <c r="K114" i="6" s="1" a="1"/>
  <c r="K114" i="6" s="1"/>
  <c r="L114" i="6" s="1"/>
  <c r="I115" i="6"/>
  <c r="J115" i="6" s="1"/>
  <c r="K115" i="6" s="1" a="1"/>
  <c r="K115" i="6" s="1"/>
  <c r="L115" i="6" s="1"/>
  <c r="I116" i="6"/>
  <c r="J116" i="6" s="1"/>
  <c r="K116" i="6" s="1" a="1"/>
  <c r="K116" i="6" s="1"/>
  <c r="L116" i="6" s="1"/>
  <c r="I117" i="6"/>
  <c r="J117" i="6" s="1"/>
  <c r="K117" i="6" s="1" a="1"/>
  <c r="K117" i="6" s="1"/>
  <c r="L117" i="6" s="1"/>
  <c r="I118" i="6"/>
  <c r="J118" i="6" s="1"/>
  <c r="K118" i="6" s="1" a="1"/>
  <c r="K118" i="6" s="1"/>
  <c r="L118" i="6" s="1"/>
  <c r="I119" i="6"/>
  <c r="J119" i="6" s="1"/>
  <c r="K119" i="6" s="1" a="1"/>
  <c r="K119" i="6" s="1"/>
  <c r="L119" i="6" s="1"/>
  <c r="I120" i="6"/>
  <c r="J120" i="6" s="1"/>
  <c r="K120" i="6" s="1" a="1"/>
  <c r="K120" i="6" s="1"/>
  <c r="L120" i="6" s="1"/>
  <c r="I121" i="6"/>
  <c r="J121" i="6" s="1"/>
  <c r="K121" i="6" s="1" a="1"/>
  <c r="K121" i="6" s="1"/>
  <c r="L121" i="6" s="1"/>
  <c r="I122" i="6"/>
  <c r="J122" i="6" s="1"/>
  <c r="K122" i="6" s="1" a="1"/>
  <c r="K122" i="6" s="1"/>
  <c r="L122" i="6" s="1"/>
  <c r="I123" i="6"/>
  <c r="J123" i="6" s="1"/>
  <c r="K123" i="6" s="1" a="1"/>
  <c r="K123" i="6" s="1"/>
  <c r="L123" i="6" s="1"/>
  <c r="I124" i="6"/>
  <c r="J124" i="6" s="1"/>
  <c r="K124" i="6" s="1" a="1"/>
  <c r="K124" i="6" s="1"/>
  <c r="L124" i="6" s="1"/>
  <c r="I125" i="6"/>
  <c r="J125" i="6" s="1"/>
  <c r="K125" i="6" s="1" a="1"/>
  <c r="K125" i="6" s="1"/>
  <c r="L125" i="6" s="1"/>
  <c r="I126" i="6"/>
  <c r="J126" i="6" s="1"/>
  <c r="K126" i="6" s="1" a="1"/>
  <c r="K126" i="6" s="1"/>
  <c r="L126" i="6" s="1"/>
  <c r="I127" i="6"/>
  <c r="J127" i="6" s="1"/>
  <c r="K127" i="6" s="1" a="1"/>
  <c r="K127" i="6" s="1"/>
  <c r="L127" i="6" s="1"/>
  <c r="I128" i="6"/>
  <c r="J128" i="6" s="1"/>
  <c r="K128" i="6" s="1" a="1"/>
  <c r="K128" i="6" s="1"/>
  <c r="L128" i="6" s="1"/>
  <c r="I129" i="6"/>
  <c r="J129" i="6" s="1"/>
  <c r="K129" i="6" s="1" a="1"/>
  <c r="K129" i="6" s="1"/>
  <c r="L129" i="6" s="1"/>
  <c r="I130" i="6"/>
  <c r="J130" i="6" s="1"/>
  <c r="K130" i="6" s="1" a="1"/>
  <c r="K130" i="6" s="1"/>
  <c r="L130" i="6" s="1"/>
  <c r="I131" i="6"/>
  <c r="J131" i="6" s="1"/>
  <c r="K131" i="6" s="1" a="1"/>
  <c r="K131" i="6" s="1"/>
  <c r="L131" i="6" s="1"/>
  <c r="I132" i="6"/>
  <c r="J132" i="6" s="1"/>
  <c r="K132" i="6" s="1" a="1"/>
  <c r="K132" i="6" s="1"/>
  <c r="L132" i="6" s="1"/>
  <c r="I133" i="6"/>
  <c r="J133" i="6" s="1"/>
  <c r="K133" i="6" s="1" a="1"/>
  <c r="K133" i="6" s="1"/>
  <c r="L133" i="6" s="1"/>
  <c r="I134" i="6"/>
  <c r="J134" i="6" s="1"/>
  <c r="K134" i="6" s="1" a="1"/>
  <c r="K134" i="6" s="1"/>
  <c r="L134" i="6" s="1"/>
  <c r="I135" i="6"/>
  <c r="J135" i="6" s="1"/>
  <c r="K135" i="6" s="1" a="1"/>
  <c r="K135" i="6" s="1"/>
  <c r="L135" i="6" s="1"/>
  <c r="I136" i="6"/>
  <c r="J136" i="6" s="1"/>
  <c r="K136" i="6" s="1" a="1"/>
  <c r="K136" i="6" s="1"/>
  <c r="L136" i="6" s="1"/>
  <c r="I137" i="6"/>
  <c r="J137" i="6" s="1"/>
  <c r="K137" i="6" s="1" a="1"/>
  <c r="K137" i="6" s="1"/>
  <c r="L137" i="6" s="1"/>
  <c r="I138" i="6"/>
  <c r="J138" i="6" s="1"/>
  <c r="K138" i="6" s="1" a="1"/>
  <c r="K138" i="6" s="1"/>
  <c r="L138" i="6" s="1"/>
  <c r="I139" i="6"/>
  <c r="J139" i="6" s="1"/>
  <c r="K139" i="6" s="1" a="1"/>
  <c r="K139" i="6" s="1"/>
  <c r="L139" i="6" s="1"/>
  <c r="I140" i="6"/>
  <c r="J140" i="6" s="1"/>
  <c r="K140" i="6" s="1" a="1"/>
  <c r="K140" i="6" s="1"/>
  <c r="L140" i="6" s="1"/>
  <c r="I141" i="6"/>
  <c r="J141" i="6" s="1"/>
  <c r="K141" i="6" s="1" a="1"/>
  <c r="K141" i="6" s="1"/>
  <c r="L141" i="6" s="1"/>
  <c r="I142" i="6"/>
  <c r="J142" i="6" s="1"/>
  <c r="K142" i="6" s="1" a="1"/>
  <c r="K142" i="6" s="1"/>
  <c r="L142" i="6" s="1"/>
  <c r="I143" i="6"/>
  <c r="J143" i="6" s="1"/>
  <c r="K143" i="6" s="1" a="1"/>
  <c r="K143" i="6" s="1"/>
  <c r="L143" i="6" s="1"/>
  <c r="I144" i="6"/>
  <c r="J144" i="6" s="1"/>
  <c r="K144" i="6" s="1" a="1"/>
  <c r="K144" i="6" s="1"/>
  <c r="L144" i="6" s="1"/>
  <c r="I145" i="6"/>
  <c r="J145" i="6" s="1"/>
  <c r="K145" i="6" s="1" a="1"/>
  <c r="K145" i="6" s="1"/>
  <c r="L145" i="6" s="1"/>
  <c r="I146" i="6"/>
  <c r="J146" i="6" s="1"/>
  <c r="K146" i="6" s="1" a="1"/>
  <c r="K146" i="6" s="1"/>
  <c r="L146" i="6" s="1"/>
  <c r="I147" i="6"/>
  <c r="J147" i="6" s="1"/>
  <c r="K147" i="6" s="1" a="1"/>
  <c r="K147" i="6" s="1"/>
  <c r="L147" i="6" s="1"/>
  <c r="I148" i="6"/>
  <c r="J148" i="6" s="1"/>
  <c r="K148" i="6" s="1" a="1"/>
  <c r="K148" i="6" s="1"/>
  <c r="L148" i="6" s="1"/>
  <c r="I149" i="6"/>
  <c r="J149" i="6" s="1"/>
  <c r="K149" i="6" s="1" a="1"/>
  <c r="K149" i="6" s="1"/>
  <c r="L149" i="6" s="1"/>
  <c r="I150" i="6"/>
  <c r="J150" i="6" s="1"/>
  <c r="K150" i="6" s="1" a="1"/>
  <c r="K150" i="6" s="1"/>
  <c r="L150" i="6" s="1"/>
  <c r="I151" i="6"/>
  <c r="J151" i="6" s="1"/>
  <c r="K151" i="6" s="1" a="1"/>
  <c r="K151" i="6" s="1"/>
  <c r="L151" i="6" s="1"/>
  <c r="I152" i="6"/>
  <c r="J152" i="6" s="1"/>
  <c r="K152" i="6" s="1" a="1"/>
  <c r="K152" i="6" s="1"/>
  <c r="L152" i="6" s="1"/>
  <c r="I153" i="6"/>
  <c r="J153" i="6" s="1"/>
  <c r="K153" i="6" s="1" a="1"/>
  <c r="K153" i="6" s="1"/>
  <c r="L153" i="6" s="1"/>
  <c r="I154" i="6"/>
  <c r="J154" i="6" s="1"/>
  <c r="K154" i="6" s="1" a="1"/>
  <c r="K154" i="6" s="1"/>
  <c r="L154" i="6" s="1"/>
  <c r="I155" i="6"/>
  <c r="J155" i="6" s="1"/>
  <c r="K155" i="6" s="1" a="1"/>
  <c r="K155" i="6" s="1"/>
  <c r="L155" i="6" s="1"/>
  <c r="I156" i="6"/>
  <c r="J156" i="6" s="1"/>
  <c r="K156" i="6" s="1" a="1"/>
  <c r="K156" i="6" s="1"/>
  <c r="L156" i="6" s="1"/>
  <c r="I157" i="6"/>
  <c r="J157" i="6" s="1"/>
  <c r="K157" i="6" s="1" a="1"/>
  <c r="K157" i="6" s="1"/>
  <c r="L157" i="6" s="1"/>
  <c r="I158" i="6"/>
  <c r="J158" i="6" s="1"/>
  <c r="K158" i="6" s="1" a="1"/>
  <c r="K158" i="6" s="1"/>
  <c r="L158" i="6" s="1"/>
  <c r="I159" i="6"/>
  <c r="J159" i="6" s="1"/>
  <c r="K159" i="6" s="1" a="1"/>
  <c r="K159" i="6" s="1"/>
  <c r="L159" i="6" s="1"/>
  <c r="I160" i="6"/>
  <c r="J160" i="6" s="1"/>
  <c r="K160" i="6" s="1" a="1"/>
  <c r="K160" i="6" s="1"/>
  <c r="L160" i="6" s="1"/>
  <c r="I161" i="6"/>
  <c r="J161" i="6" s="1"/>
  <c r="K161" i="6" s="1" a="1"/>
  <c r="K161" i="6" s="1"/>
  <c r="L161" i="6" s="1"/>
  <c r="I162" i="6"/>
  <c r="J162" i="6" s="1"/>
  <c r="K162" i="6" s="1" a="1"/>
  <c r="K162" i="6" s="1"/>
  <c r="L162" i="6" s="1"/>
  <c r="I163" i="6"/>
  <c r="J163" i="6" s="1"/>
  <c r="K163" i="6" s="1" a="1"/>
  <c r="K163" i="6" s="1"/>
  <c r="L163" i="6" s="1"/>
  <c r="I164" i="6"/>
  <c r="J164" i="6" s="1"/>
  <c r="K164" i="6" s="1" a="1"/>
  <c r="K164" i="6" s="1"/>
  <c r="L164" i="6" s="1"/>
  <c r="I165" i="6"/>
  <c r="J165" i="6" s="1"/>
  <c r="K165" i="6" s="1" a="1"/>
  <c r="K165" i="6" s="1"/>
  <c r="L165" i="6" s="1"/>
  <c r="I166" i="6"/>
  <c r="J166" i="6" s="1"/>
  <c r="K166" i="6" s="1" a="1"/>
  <c r="K166" i="6" s="1"/>
  <c r="L166" i="6" s="1"/>
  <c r="I167" i="6"/>
  <c r="J167" i="6" s="1"/>
  <c r="K167" i="6" s="1" a="1"/>
  <c r="K167" i="6" s="1"/>
  <c r="L167" i="6" s="1"/>
  <c r="I168" i="6"/>
  <c r="J168" i="6" s="1"/>
  <c r="K168" i="6" s="1" a="1"/>
  <c r="K168" i="6" s="1"/>
  <c r="L168" i="6" s="1"/>
  <c r="I169" i="6"/>
  <c r="J169" i="6" s="1"/>
  <c r="K169" i="6" s="1" a="1"/>
  <c r="K169" i="6" s="1"/>
  <c r="L169" i="6" s="1"/>
  <c r="I170" i="6"/>
  <c r="J170" i="6" s="1"/>
  <c r="K170" i="6" s="1" a="1"/>
  <c r="K170" i="6" s="1"/>
  <c r="L170" i="6" s="1"/>
  <c r="I171" i="6"/>
  <c r="J171" i="6" s="1"/>
  <c r="K171" i="6" s="1" a="1"/>
  <c r="K171" i="6" s="1"/>
  <c r="L171" i="6" s="1"/>
  <c r="I172" i="6"/>
  <c r="J172" i="6" s="1"/>
  <c r="K172" i="6" s="1" a="1"/>
  <c r="K172" i="6" s="1"/>
  <c r="L172" i="6" s="1"/>
  <c r="I173" i="6"/>
  <c r="J173" i="6" s="1"/>
  <c r="K173" i="6" s="1" a="1"/>
  <c r="K173" i="6" s="1"/>
  <c r="L173" i="6" s="1"/>
  <c r="I174" i="6"/>
  <c r="J174" i="6" s="1"/>
  <c r="K174" i="6" s="1" a="1"/>
  <c r="K174" i="6" s="1"/>
  <c r="L174" i="6" s="1"/>
  <c r="I175" i="6"/>
  <c r="J175" i="6" s="1"/>
  <c r="K175" i="6" s="1" a="1"/>
  <c r="K175" i="6" s="1"/>
  <c r="L175" i="6" s="1"/>
  <c r="I176" i="6"/>
  <c r="J176" i="6" s="1"/>
  <c r="K176" i="6" s="1" a="1"/>
  <c r="K176" i="6" s="1"/>
  <c r="L176" i="6" s="1"/>
  <c r="I177" i="6"/>
  <c r="J177" i="6" s="1"/>
  <c r="K177" i="6" s="1" a="1"/>
  <c r="K177" i="6" s="1"/>
  <c r="L177" i="6" s="1"/>
  <c r="I178" i="6"/>
  <c r="J178" i="6" s="1"/>
  <c r="K178" i="6" s="1" a="1"/>
  <c r="K178" i="6" s="1"/>
  <c r="L178" i="6" s="1"/>
  <c r="I179" i="6"/>
  <c r="J179" i="6" s="1"/>
  <c r="K179" i="6" s="1" a="1"/>
  <c r="K179" i="6" s="1"/>
  <c r="L179" i="6" s="1"/>
  <c r="I180" i="6"/>
  <c r="J180" i="6" s="1"/>
  <c r="K180" i="6" s="1" a="1"/>
  <c r="K180" i="6" s="1"/>
  <c r="L180" i="6" s="1"/>
  <c r="I181" i="6"/>
  <c r="J181" i="6" s="1"/>
  <c r="K181" i="6" s="1" a="1"/>
  <c r="K181" i="6" s="1"/>
  <c r="L181" i="6" s="1"/>
  <c r="I182" i="6"/>
  <c r="J182" i="6" s="1"/>
  <c r="K182" i="6" s="1" a="1"/>
  <c r="K182" i="6" s="1"/>
  <c r="L182" i="6" s="1"/>
  <c r="I183" i="6"/>
  <c r="J183" i="6" s="1"/>
  <c r="K183" i="6" s="1" a="1"/>
  <c r="K183" i="6" s="1"/>
  <c r="L183" i="6" s="1"/>
  <c r="I184" i="6"/>
  <c r="J184" i="6" s="1"/>
  <c r="K184" i="6" s="1" a="1"/>
  <c r="K184" i="6" s="1"/>
  <c r="L184" i="6" s="1"/>
  <c r="I185" i="6"/>
  <c r="J185" i="6" s="1"/>
  <c r="K185" i="6" s="1" a="1"/>
  <c r="K185" i="6" s="1"/>
  <c r="L185" i="6" s="1"/>
  <c r="I186" i="6"/>
  <c r="J186" i="6" s="1"/>
  <c r="K186" i="6" s="1" a="1"/>
  <c r="K186" i="6" s="1"/>
  <c r="L186" i="6" s="1"/>
  <c r="I187" i="6"/>
  <c r="J187" i="6" s="1"/>
  <c r="K187" i="6" s="1" a="1"/>
  <c r="K187" i="6" s="1"/>
  <c r="L187" i="6" s="1"/>
  <c r="I188" i="6"/>
  <c r="J188" i="6" s="1"/>
  <c r="K188" i="6" s="1" a="1"/>
  <c r="K188" i="6" s="1"/>
  <c r="L188" i="6" s="1"/>
  <c r="I189" i="6"/>
  <c r="J189" i="6" s="1"/>
  <c r="K189" i="6" s="1" a="1"/>
  <c r="K189" i="6" s="1"/>
  <c r="L189" i="6" s="1"/>
  <c r="I190" i="6"/>
  <c r="J190" i="6" s="1"/>
  <c r="K190" i="6" s="1" a="1"/>
  <c r="K190" i="6" s="1"/>
  <c r="L190" i="6" s="1"/>
  <c r="I191" i="6"/>
  <c r="J191" i="6" s="1"/>
  <c r="K191" i="6" s="1" a="1"/>
  <c r="K191" i="6" s="1"/>
  <c r="L191" i="6" s="1"/>
  <c r="I192" i="6"/>
  <c r="J192" i="6" s="1"/>
  <c r="K192" i="6" s="1" a="1"/>
  <c r="K192" i="6" s="1"/>
  <c r="L192" i="6" s="1"/>
  <c r="I193" i="6"/>
  <c r="J193" i="6" s="1"/>
  <c r="K193" i="6" s="1" a="1"/>
  <c r="K193" i="6" s="1"/>
  <c r="L193" i="6" s="1"/>
  <c r="I194" i="6"/>
  <c r="J194" i="6" s="1"/>
  <c r="K194" i="6" s="1" a="1"/>
  <c r="K194" i="6" s="1"/>
  <c r="L194" i="6" s="1"/>
  <c r="I195" i="6"/>
  <c r="J195" i="6" s="1"/>
  <c r="K195" i="6" s="1" a="1"/>
  <c r="K195" i="6" s="1"/>
  <c r="L195" i="6" s="1"/>
  <c r="I196" i="6"/>
  <c r="J196" i="6" s="1"/>
  <c r="K196" i="6" s="1" a="1"/>
  <c r="K196" i="6" s="1"/>
  <c r="L196" i="6" s="1"/>
  <c r="I197" i="6"/>
  <c r="J197" i="6" s="1"/>
  <c r="K197" i="6" s="1" a="1"/>
  <c r="K197" i="6" s="1"/>
  <c r="L197" i="6" s="1"/>
  <c r="I198" i="6"/>
  <c r="J198" i="6" s="1"/>
  <c r="K198" i="6" s="1" a="1"/>
  <c r="K198" i="6" s="1"/>
  <c r="L198" i="6" s="1"/>
  <c r="I199" i="6"/>
  <c r="J199" i="6" s="1"/>
  <c r="K199" i="6" s="1" a="1"/>
  <c r="K199" i="6" s="1"/>
  <c r="L199" i="6" s="1"/>
  <c r="I200" i="6"/>
  <c r="J200" i="6" s="1"/>
  <c r="K200" i="6" s="1" a="1"/>
  <c r="K200" i="6" s="1"/>
  <c r="L200" i="6" s="1"/>
  <c r="I201" i="6"/>
  <c r="J201" i="6" s="1"/>
  <c r="K201" i="6" s="1" a="1"/>
  <c r="K201" i="6" s="1"/>
  <c r="L201" i="6" s="1"/>
  <c r="I202" i="6"/>
  <c r="J202" i="6" s="1"/>
  <c r="K202" i="6" s="1" a="1"/>
  <c r="K202" i="6" s="1"/>
  <c r="L202" i="6" s="1"/>
  <c r="I203" i="6"/>
  <c r="J203" i="6" s="1"/>
  <c r="K203" i="6" s="1" a="1"/>
  <c r="K203" i="6" s="1"/>
  <c r="L203" i="6" s="1"/>
  <c r="J8" i="1"/>
  <c r="E5" i="5"/>
  <c r="F5" i="5"/>
  <c r="G5" i="5"/>
  <c r="E6" i="5"/>
  <c r="F6" i="5"/>
  <c r="G6" i="5"/>
  <c r="E7" i="5"/>
  <c r="F7" i="5"/>
  <c r="G7" i="5"/>
  <c r="E8" i="5"/>
  <c r="F8" i="5"/>
  <c r="G8" i="5"/>
  <c r="E9" i="5"/>
  <c r="F9" i="5"/>
  <c r="G9" i="5"/>
  <c r="E10" i="5"/>
  <c r="F10" i="5"/>
  <c r="G10" i="5"/>
  <c r="E11" i="5"/>
  <c r="F11" i="5"/>
  <c r="G11" i="5"/>
  <c r="E12" i="5"/>
  <c r="F12" i="5"/>
  <c r="G12" i="5"/>
  <c r="E13" i="5"/>
  <c r="F13" i="5"/>
  <c r="G13" i="5"/>
  <c r="E14" i="5"/>
  <c r="F14" i="5"/>
  <c r="G14" i="5"/>
  <c r="E15" i="5"/>
  <c r="F15" i="5"/>
  <c r="G15" i="5"/>
  <c r="E16" i="5"/>
  <c r="F16" i="5"/>
  <c r="G16" i="5"/>
  <c r="E17" i="5"/>
  <c r="F17" i="5"/>
  <c r="G17" i="5"/>
  <c r="E18" i="5"/>
  <c r="F18" i="5"/>
  <c r="G18" i="5"/>
  <c r="E19" i="5"/>
  <c r="F19" i="5"/>
  <c r="G19" i="5"/>
  <c r="E20" i="5"/>
  <c r="F20" i="5"/>
  <c r="G20" i="5"/>
  <c r="E21" i="5"/>
  <c r="F21" i="5"/>
  <c r="G21" i="5"/>
  <c r="E22" i="5"/>
  <c r="F22" i="5"/>
  <c r="G22" i="5"/>
  <c r="E23" i="5"/>
  <c r="F23" i="5"/>
  <c r="G23" i="5"/>
  <c r="E24" i="5"/>
  <c r="F24" i="5"/>
  <c r="G24" i="5"/>
  <c r="E25" i="5"/>
  <c r="F25" i="5"/>
  <c r="G25" i="5"/>
  <c r="E26" i="5"/>
  <c r="F26" i="5"/>
  <c r="G26" i="5"/>
  <c r="E27" i="5"/>
  <c r="F27" i="5"/>
  <c r="G27" i="5"/>
  <c r="E28" i="5"/>
  <c r="F28" i="5"/>
  <c r="G28" i="5"/>
  <c r="E29" i="5"/>
  <c r="F29" i="5"/>
  <c r="G29" i="5"/>
  <c r="E30" i="5"/>
  <c r="F30" i="5"/>
  <c r="G30" i="5"/>
  <c r="E31" i="5"/>
  <c r="F31" i="5"/>
  <c r="G31" i="5"/>
  <c r="E32" i="5"/>
  <c r="F32" i="5"/>
  <c r="G32" i="5"/>
  <c r="E33" i="5"/>
  <c r="F33" i="5"/>
  <c r="G33" i="5"/>
  <c r="E34" i="5"/>
  <c r="F34" i="5"/>
  <c r="G34" i="5"/>
  <c r="E35" i="5"/>
  <c r="F35" i="5"/>
  <c r="G35" i="5"/>
  <c r="E36" i="5"/>
  <c r="F36" i="5"/>
  <c r="G36" i="5"/>
  <c r="E37" i="5"/>
  <c r="F37" i="5"/>
  <c r="G37" i="5"/>
  <c r="E38" i="5"/>
  <c r="F38" i="5"/>
  <c r="G38" i="5"/>
  <c r="E39" i="5"/>
  <c r="F39" i="5"/>
  <c r="G39" i="5"/>
  <c r="E40" i="5"/>
  <c r="F40" i="5"/>
  <c r="G40" i="5"/>
  <c r="E41" i="5"/>
  <c r="F41" i="5"/>
  <c r="G41" i="5"/>
  <c r="E42" i="5"/>
  <c r="F42" i="5"/>
  <c r="G42" i="5"/>
  <c r="E43" i="5"/>
  <c r="F43" i="5"/>
  <c r="G43" i="5"/>
  <c r="E44" i="5"/>
  <c r="F44" i="5"/>
  <c r="G44" i="5"/>
  <c r="E45" i="5"/>
  <c r="F45" i="5"/>
  <c r="G45" i="5"/>
  <c r="E46" i="5"/>
  <c r="F46" i="5"/>
  <c r="G46" i="5"/>
  <c r="E47" i="5"/>
  <c r="F47" i="5"/>
  <c r="G47" i="5"/>
  <c r="E48" i="5"/>
  <c r="F48" i="5"/>
  <c r="G48" i="5"/>
  <c r="E49" i="5"/>
  <c r="F49" i="5"/>
  <c r="G49" i="5"/>
  <c r="E50" i="5"/>
  <c r="F50" i="5"/>
  <c r="G50" i="5"/>
  <c r="E51" i="5"/>
  <c r="F51" i="5"/>
  <c r="G51" i="5"/>
  <c r="E52" i="5"/>
  <c r="F52" i="5"/>
  <c r="G52" i="5"/>
  <c r="E53" i="5"/>
  <c r="F53" i="5"/>
  <c r="G53" i="5"/>
  <c r="E54" i="5"/>
  <c r="F54" i="5"/>
  <c r="G54" i="5"/>
  <c r="E55" i="5"/>
  <c r="F55" i="5"/>
  <c r="G55" i="5"/>
  <c r="E56" i="5"/>
  <c r="F56" i="5"/>
  <c r="G56" i="5"/>
  <c r="E57" i="5"/>
  <c r="F57" i="5"/>
  <c r="G57" i="5"/>
  <c r="E58" i="5"/>
  <c r="F58" i="5"/>
  <c r="G58" i="5"/>
  <c r="E59" i="5"/>
  <c r="F59" i="5"/>
  <c r="G59" i="5"/>
  <c r="E60" i="5"/>
  <c r="F60" i="5"/>
  <c r="G60" i="5"/>
  <c r="E61" i="5"/>
  <c r="F61" i="5"/>
  <c r="G61" i="5"/>
  <c r="E62" i="5"/>
  <c r="F62" i="5"/>
  <c r="G62" i="5"/>
  <c r="E63" i="5"/>
  <c r="F63" i="5"/>
  <c r="G63" i="5"/>
  <c r="E64" i="5"/>
  <c r="F64" i="5"/>
  <c r="G64" i="5"/>
  <c r="E65" i="5"/>
  <c r="F65" i="5"/>
  <c r="G65" i="5"/>
  <c r="E66" i="5"/>
  <c r="F66" i="5"/>
  <c r="G66" i="5"/>
  <c r="E67" i="5"/>
  <c r="F67" i="5"/>
  <c r="G67" i="5"/>
  <c r="E68" i="5"/>
  <c r="F68" i="5"/>
  <c r="G68" i="5"/>
  <c r="E69" i="5"/>
  <c r="F69" i="5"/>
  <c r="G69" i="5"/>
  <c r="E70" i="5"/>
  <c r="F70" i="5"/>
  <c r="G70" i="5"/>
  <c r="E71" i="5"/>
  <c r="F71" i="5"/>
  <c r="G71" i="5"/>
  <c r="E72" i="5"/>
  <c r="F72" i="5"/>
  <c r="G72" i="5"/>
  <c r="E73" i="5"/>
  <c r="F73" i="5"/>
  <c r="G73" i="5"/>
  <c r="E74" i="5"/>
  <c r="F74" i="5"/>
  <c r="G74" i="5"/>
  <c r="E75" i="5"/>
  <c r="F75" i="5"/>
  <c r="G75" i="5"/>
  <c r="E76" i="5"/>
  <c r="F76" i="5"/>
  <c r="G76" i="5"/>
  <c r="E77" i="5"/>
  <c r="F77" i="5"/>
  <c r="G77" i="5"/>
  <c r="E78" i="5"/>
  <c r="F78" i="5"/>
  <c r="G78" i="5"/>
  <c r="E79" i="5"/>
  <c r="F79" i="5"/>
  <c r="G79" i="5"/>
  <c r="E80" i="5"/>
  <c r="F80" i="5"/>
  <c r="G80" i="5"/>
  <c r="E81" i="5"/>
  <c r="F81" i="5"/>
  <c r="G81" i="5"/>
  <c r="E82" i="5"/>
  <c r="F82" i="5"/>
  <c r="G82" i="5"/>
  <c r="E83" i="5"/>
  <c r="F83" i="5"/>
  <c r="G83" i="5"/>
  <c r="E84" i="5"/>
  <c r="F84" i="5"/>
  <c r="G84" i="5"/>
  <c r="E85" i="5"/>
  <c r="F85" i="5"/>
  <c r="G85" i="5"/>
  <c r="E86" i="5"/>
  <c r="F86" i="5"/>
  <c r="G86" i="5"/>
  <c r="E87" i="5"/>
  <c r="F87" i="5"/>
  <c r="G87" i="5"/>
  <c r="E88" i="5"/>
  <c r="F88" i="5"/>
  <c r="G88" i="5"/>
  <c r="E89" i="5"/>
  <c r="F89" i="5"/>
  <c r="G89" i="5"/>
  <c r="E90" i="5"/>
  <c r="F90" i="5"/>
  <c r="G90" i="5"/>
  <c r="E91" i="5"/>
  <c r="F91" i="5"/>
  <c r="G91" i="5"/>
  <c r="E92" i="5"/>
  <c r="F92" i="5"/>
  <c r="G92" i="5"/>
  <c r="E93" i="5"/>
  <c r="F93" i="5"/>
  <c r="G93" i="5"/>
  <c r="E94" i="5"/>
  <c r="F94" i="5"/>
  <c r="G94" i="5"/>
  <c r="E95" i="5"/>
  <c r="F95" i="5"/>
  <c r="G95" i="5"/>
  <c r="E96" i="5"/>
  <c r="F96" i="5"/>
  <c r="G96" i="5"/>
  <c r="E97" i="5"/>
  <c r="F97" i="5"/>
  <c r="G97" i="5"/>
  <c r="E98" i="5"/>
  <c r="F98" i="5"/>
  <c r="G98" i="5"/>
  <c r="E99" i="5"/>
  <c r="F99" i="5"/>
  <c r="G99" i="5"/>
  <c r="E100" i="5"/>
  <c r="F100" i="5"/>
  <c r="G100" i="5"/>
  <c r="E101" i="5"/>
  <c r="F101" i="5"/>
  <c r="G101" i="5"/>
  <c r="E102" i="5"/>
  <c r="F102" i="5"/>
  <c r="G102" i="5"/>
  <c r="E103" i="5"/>
  <c r="F103" i="5"/>
  <c r="G103" i="5"/>
  <c r="E104" i="5"/>
  <c r="F104" i="5"/>
  <c r="G104" i="5"/>
  <c r="E105" i="5"/>
  <c r="F105" i="5"/>
  <c r="G105" i="5"/>
  <c r="E106" i="5"/>
  <c r="F106" i="5"/>
  <c r="G106" i="5"/>
  <c r="E107" i="5"/>
  <c r="F107" i="5"/>
  <c r="G107" i="5"/>
  <c r="E108" i="5"/>
  <c r="F108" i="5"/>
  <c r="G108" i="5"/>
  <c r="E109" i="5"/>
  <c r="F109" i="5"/>
  <c r="G109" i="5"/>
  <c r="E110" i="5"/>
  <c r="F110" i="5"/>
  <c r="G110" i="5"/>
  <c r="E111" i="5"/>
  <c r="F111" i="5"/>
  <c r="G111" i="5"/>
  <c r="E112" i="5"/>
  <c r="F112" i="5"/>
  <c r="G112" i="5"/>
  <c r="E113" i="5"/>
  <c r="F113" i="5"/>
  <c r="G113" i="5"/>
  <c r="E114" i="5"/>
  <c r="F114" i="5"/>
  <c r="G114" i="5"/>
  <c r="E115" i="5"/>
  <c r="F115" i="5"/>
  <c r="G115" i="5"/>
  <c r="E116" i="5"/>
  <c r="F116" i="5"/>
  <c r="G116" i="5"/>
  <c r="E117" i="5"/>
  <c r="F117" i="5"/>
  <c r="G117" i="5"/>
  <c r="E118" i="5"/>
  <c r="F118" i="5"/>
  <c r="G118" i="5"/>
  <c r="E119" i="5"/>
  <c r="F119" i="5"/>
  <c r="G119" i="5"/>
  <c r="E120" i="5"/>
  <c r="F120" i="5"/>
  <c r="G120" i="5"/>
  <c r="E121" i="5"/>
  <c r="F121" i="5"/>
  <c r="G121" i="5"/>
  <c r="E122" i="5"/>
  <c r="F122" i="5"/>
  <c r="G122" i="5"/>
  <c r="E123" i="5"/>
  <c r="F123" i="5"/>
  <c r="G123" i="5"/>
  <c r="E124" i="5"/>
  <c r="F124" i="5"/>
  <c r="G124" i="5"/>
  <c r="E125" i="5"/>
  <c r="F125" i="5"/>
  <c r="G125" i="5"/>
  <c r="E126" i="5"/>
  <c r="F126" i="5"/>
  <c r="G126" i="5"/>
  <c r="E127" i="5"/>
  <c r="F127" i="5"/>
  <c r="G127" i="5"/>
  <c r="E128" i="5"/>
  <c r="F128" i="5"/>
  <c r="G128" i="5"/>
  <c r="E129" i="5"/>
  <c r="F129" i="5"/>
  <c r="G129" i="5"/>
  <c r="E130" i="5"/>
  <c r="F130" i="5"/>
  <c r="G130" i="5"/>
  <c r="E131" i="5"/>
  <c r="F131" i="5"/>
  <c r="G131" i="5"/>
  <c r="E132" i="5"/>
  <c r="F132" i="5"/>
  <c r="G132" i="5"/>
  <c r="E133" i="5"/>
  <c r="F133" i="5"/>
  <c r="G133" i="5"/>
  <c r="E134" i="5"/>
  <c r="F134" i="5"/>
  <c r="G134" i="5"/>
  <c r="E135" i="5"/>
  <c r="F135" i="5"/>
  <c r="G135" i="5"/>
  <c r="E136" i="5"/>
  <c r="F136" i="5"/>
  <c r="G136" i="5"/>
  <c r="E137" i="5"/>
  <c r="F137" i="5"/>
  <c r="G137" i="5"/>
  <c r="E138" i="5"/>
  <c r="F138" i="5"/>
  <c r="G138" i="5"/>
  <c r="E139" i="5"/>
  <c r="F139" i="5"/>
  <c r="G139" i="5"/>
  <c r="E140" i="5"/>
  <c r="F140" i="5"/>
  <c r="G140" i="5"/>
  <c r="E141" i="5"/>
  <c r="F141" i="5"/>
  <c r="G141" i="5"/>
  <c r="E142" i="5"/>
  <c r="F142" i="5"/>
  <c r="G142" i="5"/>
  <c r="E143" i="5"/>
  <c r="F143" i="5"/>
  <c r="G143" i="5"/>
  <c r="E144" i="5"/>
  <c r="F144" i="5"/>
  <c r="G144" i="5"/>
  <c r="E145" i="5"/>
  <c r="F145" i="5"/>
  <c r="G145" i="5"/>
  <c r="E146" i="5"/>
  <c r="F146" i="5"/>
  <c r="G146" i="5"/>
  <c r="E147" i="5"/>
  <c r="F147" i="5"/>
  <c r="G147" i="5"/>
  <c r="E148" i="5"/>
  <c r="F148" i="5"/>
  <c r="G148" i="5"/>
  <c r="E149" i="5"/>
  <c r="F149" i="5"/>
  <c r="G149" i="5"/>
  <c r="E150" i="5"/>
  <c r="F150" i="5"/>
  <c r="G150" i="5"/>
  <c r="E151" i="5"/>
  <c r="F151" i="5"/>
  <c r="G151" i="5"/>
  <c r="E152" i="5"/>
  <c r="F152" i="5"/>
  <c r="G152" i="5"/>
  <c r="E153" i="5"/>
  <c r="F153" i="5"/>
  <c r="G153" i="5"/>
  <c r="E154" i="5"/>
  <c r="F154" i="5"/>
  <c r="G154" i="5"/>
  <c r="E155" i="5"/>
  <c r="F155" i="5"/>
  <c r="G155" i="5"/>
  <c r="E156" i="5"/>
  <c r="F156" i="5"/>
  <c r="G156" i="5"/>
  <c r="E157" i="5"/>
  <c r="F157" i="5"/>
  <c r="G157" i="5"/>
  <c r="E158" i="5"/>
  <c r="F158" i="5"/>
  <c r="G158" i="5"/>
  <c r="E159" i="5"/>
  <c r="F159" i="5"/>
  <c r="G159" i="5"/>
  <c r="E160" i="5"/>
  <c r="F160" i="5"/>
  <c r="G160" i="5"/>
  <c r="E161" i="5"/>
  <c r="F161" i="5"/>
  <c r="G161" i="5"/>
  <c r="E162" i="5"/>
  <c r="F162" i="5"/>
  <c r="G162" i="5"/>
  <c r="E163" i="5"/>
  <c r="F163" i="5"/>
  <c r="G163" i="5"/>
  <c r="E164" i="5"/>
  <c r="F164" i="5"/>
  <c r="G164" i="5"/>
  <c r="E165" i="5"/>
  <c r="F165" i="5"/>
  <c r="G165" i="5"/>
  <c r="E166" i="5"/>
  <c r="F166" i="5"/>
  <c r="G166" i="5"/>
  <c r="E167" i="5"/>
  <c r="F167" i="5"/>
  <c r="G167" i="5"/>
  <c r="E168" i="5"/>
  <c r="F168" i="5"/>
  <c r="G168" i="5"/>
  <c r="E169" i="5"/>
  <c r="F169" i="5"/>
  <c r="G169" i="5"/>
  <c r="E170" i="5"/>
  <c r="F170" i="5"/>
  <c r="G170" i="5"/>
  <c r="E171" i="5"/>
  <c r="F171" i="5"/>
  <c r="G171" i="5"/>
  <c r="E172" i="5"/>
  <c r="F172" i="5"/>
  <c r="G172" i="5"/>
  <c r="E173" i="5"/>
  <c r="F173" i="5"/>
  <c r="G173" i="5"/>
  <c r="E174" i="5"/>
  <c r="F174" i="5"/>
  <c r="G174" i="5"/>
  <c r="E175" i="5"/>
  <c r="F175" i="5"/>
  <c r="G175" i="5"/>
  <c r="E176" i="5"/>
  <c r="F176" i="5"/>
  <c r="G176" i="5"/>
  <c r="E177" i="5"/>
  <c r="F177" i="5"/>
  <c r="G177" i="5"/>
  <c r="E178" i="5"/>
  <c r="F178" i="5"/>
  <c r="G178" i="5"/>
  <c r="E179" i="5"/>
  <c r="F179" i="5"/>
  <c r="G179" i="5"/>
  <c r="E180" i="5"/>
  <c r="F180" i="5"/>
  <c r="G180" i="5"/>
  <c r="E181" i="5"/>
  <c r="F181" i="5"/>
  <c r="G181" i="5"/>
  <c r="E182" i="5"/>
  <c r="F182" i="5"/>
  <c r="G182" i="5"/>
  <c r="E183" i="5"/>
  <c r="F183" i="5"/>
  <c r="G183" i="5"/>
  <c r="E184" i="5"/>
  <c r="F184" i="5"/>
  <c r="G184" i="5"/>
  <c r="E185" i="5"/>
  <c r="F185" i="5"/>
  <c r="G185" i="5"/>
  <c r="E186" i="5"/>
  <c r="F186" i="5"/>
  <c r="G186" i="5"/>
  <c r="E187" i="5"/>
  <c r="F187" i="5"/>
  <c r="G187" i="5"/>
  <c r="E188" i="5"/>
  <c r="F188" i="5"/>
  <c r="G188" i="5"/>
  <c r="E189" i="5"/>
  <c r="F189" i="5"/>
  <c r="G189" i="5"/>
  <c r="E190" i="5"/>
  <c r="F190" i="5"/>
  <c r="G190" i="5"/>
  <c r="E191" i="5"/>
  <c r="F191" i="5"/>
  <c r="G191" i="5"/>
  <c r="E192" i="5"/>
  <c r="F192" i="5"/>
  <c r="G192" i="5"/>
  <c r="E193" i="5"/>
  <c r="F193" i="5"/>
  <c r="G193" i="5"/>
  <c r="E194" i="5"/>
  <c r="F194" i="5"/>
  <c r="G194" i="5"/>
  <c r="E195" i="5"/>
  <c r="F195" i="5"/>
  <c r="G195" i="5"/>
  <c r="E196" i="5"/>
  <c r="F196" i="5"/>
  <c r="G196" i="5"/>
  <c r="E197" i="5"/>
  <c r="F197" i="5"/>
  <c r="G197" i="5"/>
  <c r="E198" i="5"/>
  <c r="F198" i="5"/>
  <c r="G198" i="5"/>
  <c r="E199" i="5"/>
  <c r="F199" i="5"/>
  <c r="G199" i="5"/>
  <c r="E200" i="5"/>
  <c r="F200" i="5"/>
  <c r="G200" i="5"/>
  <c r="E201" i="5"/>
  <c r="F201" i="5"/>
  <c r="G201" i="5"/>
  <c r="E202" i="5"/>
  <c r="F202" i="5"/>
  <c r="G202" i="5"/>
  <c r="E203" i="5"/>
  <c r="F203" i="5"/>
  <c r="G203" i="5"/>
  <c r="G4" i="5"/>
  <c r="F4" i="5"/>
  <c r="E4" i="5"/>
  <c r="B5" i="5"/>
  <c r="C5" i="5" s="1"/>
  <c r="B6" i="5"/>
  <c r="C6" i="5" s="1"/>
  <c r="B7" i="5"/>
  <c r="C7" i="5" s="1"/>
  <c r="B8" i="5"/>
  <c r="C8" i="5" s="1"/>
  <c r="B9" i="5"/>
  <c r="C9" i="5" s="1"/>
  <c r="B10" i="5"/>
  <c r="C10" i="5" s="1"/>
  <c r="B11" i="5"/>
  <c r="C11" i="5" s="1"/>
  <c r="B12" i="5"/>
  <c r="C12" i="5" s="1"/>
  <c r="B13" i="5"/>
  <c r="C13" i="5" s="1"/>
  <c r="B14" i="5"/>
  <c r="C14" i="5" s="1"/>
  <c r="B15" i="5"/>
  <c r="C15" i="5" s="1"/>
  <c r="B16" i="5"/>
  <c r="C16" i="5" s="1"/>
  <c r="B17" i="5"/>
  <c r="C17" i="5" s="1"/>
  <c r="B18" i="5"/>
  <c r="C18" i="5" s="1"/>
  <c r="B19" i="5"/>
  <c r="C19" i="5" s="1"/>
  <c r="B20" i="5"/>
  <c r="C20" i="5" s="1"/>
  <c r="B21" i="5"/>
  <c r="C21" i="5" s="1"/>
  <c r="B22" i="5"/>
  <c r="C22" i="5" s="1"/>
  <c r="B23" i="5"/>
  <c r="C23" i="5" s="1"/>
  <c r="B24" i="5"/>
  <c r="C24" i="5" s="1"/>
  <c r="B25" i="5"/>
  <c r="C25" i="5" s="1"/>
  <c r="B26" i="5"/>
  <c r="C26" i="5" s="1"/>
  <c r="B27" i="5"/>
  <c r="C27" i="5" s="1"/>
  <c r="B28" i="5"/>
  <c r="C28" i="5" s="1"/>
  <c r="B29" i="5"/>
  <c r="C29" i="5" s="1"/>
  <c r="B30" i="5"/>
  <c r="C30" i="5" s="1"/>
  <c r="B31" i="5"/>
  <c r="C31" i="5" s="1"/>
  <c r="B32" i="5"/>
  <c r="C32" i="5" s="1"/>
  <c r="B33" i="5"/>
  <c r="C33" i="5" s="1"/>
  <c r="B34" i="5"/>
  <c r="C34" i="5" s="1"/>
  <c r="B35" i="5"/>
  <c r="C35" i="5" s="1"/>
  <c r="B36" i="5"/>
  <c r="C36" i="5" s="1"/>
  <c r="B37" i="5"/>
  <c r="C37" i="5" s="1"/>
  <c r="B38" i="5"/>
  <c r="C38" i="5" s="1"/>
  <c r="B39" i="5"/>
  <c r="C39" i="5" s="1"/>
  <c r="B40" i="5"/>
  <c r="C40" i="5" s="1"/>
  <c r="B41" i="5"/>
  <c r="C41" i="5" s="1"/>
  <c r="B42" i="5"/>
  <c r="C42" i="5" s="1"/>
  <c r="B43" i="5"/>
  <c r="C43" i="5" s="1"/>
  <c r="B44" i="5"/>
  <c r="C44" i="5" s="1"/>
  <c r="B45" i="5"/>
  <c r="C45" i="5" s="1"/>
  <c r="B46" i="5"/>
  <c r="C46" i="5" s="1"/>
  <c r="B47" i="5"/>
  <c r="C47" i="5" s="1"/>
  <c r="B48" i="5"/>
  <c r="C48" i="5" s="1"/>
  <c r="B49" i="5"/>
  <c r="C49" i="5" s="1"/>
  <c r="B50" i="5"/>
  <c r="C50" i="5" s="1"/>
  <c r="B51" i="5"/>
  <c r="C51" i="5" s="1"/>
  <c r="B52" i="5"/>
  <c r="C52" i="5" s="1"/>
  <c r="B53" i="5"/>
  <c r="C53" i="5" s="1"/>
  <c r="B54" i="5"/>
  <c r="C54" i="5" s="1"/>
  <c r="B55" i="5"/>
  <c r="C55" i="5" s="1"/>
  <c r="B56" i="5"/>
  <c r="C56" i="5" s="1"/>
  <c r="B57" i="5"/>
  <c r="C57" i="5" s="1"/>
  <c r="B58" i="5"/>
  <c r="C58" i="5" s="1"/>
  <c r="B59" i="5"/>
  <c r="C59" i="5" s="1"/>
  <c r="B60" i="5"/>
  <c r="C60" i="5" s="1"/>
  <c r="B61" i="5"/>
  <c r="C61" i="5" s="1"/>
  <c r="B62" i="5"/>
  <c r="C62" i="5" s="1"/>
  <c r="B63" i="5"/>
  <c r="C63" i="5" s="1"/>
  <c r="B64" i="5"/>
  <c r="C64" i="5" s="1"/>
  <c r="B65" i="5"/>
  <c r="C65" i="5" s="1"/>
  <c r="B66" i="5"/>
  <c r="C66" i="5" s="1"/>
  <c r="B67" i="5"/>
  <c r="C67" i="5" s="1"/>
  <c r="B68" i="5"/>
  <c r="C68" i="5" s="1"/>
  <c r="B69" i="5"/>
  <c r="C69" i="5" s="1"/>
  <c r="B70" i="5"/>
  <c r="C70" i="5" s="1"/>
  <c r="B71" i="5"/>
  <c r="C71" i="5" s="1"/>
  <c r="B72" i="5"/>
  <c r="C72" i="5" s="1"/>
  <c r="B73" i="5"/>
  <c r="C73" i="5" s="1"/>
  <c r="B74" i="5"/>
  <c r="C74" i="5" s="1"/>
  <c r="B75" i="5"/>
  <c r="C75" i="5" s="1"/>
  <c r="B76" i="5"/>
  <c r="C76" i="5" s="1"/>
  <c r="B77" i="5"/>
  <c r="C77" i="5" s="1"/>
  <c r="B78" i="5"/>
  <c r="C78" i="5" s="1"/>
  <c r="B79" i="5"/>
  <c r="C79" i="5" s="1"/>
  <c r="B80" i="5"/>
  <c r="C80" i="5" s="1"/>
  <c r="B81" i="5"/>
  <c r="C81" i="5" s="1"/>
  <c r="B82" i="5"/>
  <c r="C82" i="5" s="1"/>
  <c r="B83" i="5"/>
  <c r="C83" i="5" s="1"/>
  <c r="B84" i="5"/>
  <c r="C84" i="5" s="1"/>
  <c r="B85" i="5"/>
  <c r="C85" i="5" s="1"/>
  <c r="B86" i="5"/>
  <c r="C86" i="5" s="1"/>
  <c r="B87" i="5"/>
  <c r="C87" i="5" s="1"/>
  <c r="B88" i="5"/>
  <c r="C88" i="5" s="1"/>
  <c r="B89" i="5"/>
  <c r="C89" i="5" s="1"/>
  <c r="B90" i="5"/>
  <c r="C90" i="5" s="1"/>
  <c r="B91" i="5"/>
  <c r="C91" i="5" s="1"/>
  <c r="B92" i="5"/>
  <c r="C92" i="5" s="1"/>
  <c r="B93" i="5"/>
  <c r="C93" i="5" s="1"/>
  <c r="B94" i="5"/>
  <c r="C94" i="5" s="1"/>
  <c r="B95" i="5"/>
  <c r="C95" i="5" s="1"/>
  <c r="B96" i="5"/>
  <c r="C96" i="5" s="1"/>
  <c r="B97" i="5"/>
  <c r="C97" i="5" s="1"/>
  <c r="B98" i="5"/>
  <c r="C98" i="5" s="1"/>
  <c r="B99" i="5"/>
  <c r="C99" i="5" s="1"/>
  <c r="B100" i="5"/>
  <c r="C100" i="5" s="1"/>
  <c r="B101" i="5"/>
  <c r="C101" i="5" s="1"/>
  <c r="B102" i="5"/>
  <c r="C102" i="5" s="1"/>
  <c r="B103" i="5"/>
  <c r="C103" i="5" s="1"/>
  <c r="B104" i="5"/>
  <c r="C104" i="5" s="1"/>
  <c r="B105" i="5"/>
  <c r="C105" i="5" s="1"/>
  <c r="B106" i="5"/>
  <c r="C106" i="5" s="1"/>
  <c r="B107" i="5"/>
  <c r="C107" i="5" s="1"/>
  <c r="B108" i="5"/>
  <c r="C108" i="5" s="1"/>
  <c r="B109" i="5"/>
  <c r="C109" i="5" s="1"/>
  <c r="B110" i="5"/>
  <c r="C110" i="5" s="1"/>
  <c r="B111" i="5"/>
  <c r="C111" i="5" s="1"/>
  <c r="B112" i="5"/>
  <c r="C112" i="5" s="1"/>
  <c r="B113" i="5"/>
  <c r="C113" i="5" s="1"/>
  <c r="B114" i="5"/>
  <c r="C114" i="5" s="1"/>
  <c r="B115" i="5"/>
  <c r="C115" i="5" s="1"/>
  <c r="B116" i="5"/>
  <c r="C116" i="5" s="1"/>
  <c r="B117" i="5"/>
  <c r="C117" i="5" s="1"/>
  <c r="B118" i="5"/>
  <c r="C118" i="5" s="1"/>
  <c r="B119" i="5"/>
  <c r="C119" i="5" s="1"/>
  <c r="B120" i="5"/>
  <c r="C120" i="5" s="1"/>
  <c r="B121" i="5"/>
  <c r="C121" i="5" s="1"/>
  <c r="B122" i="5"/>
  <c r="C122" i="5" s="1"/>
  <c r="B123" i="5"/>
  <c r="C123" i="5" s="1"/>
  <c r="B124" i="5"/>
  <c r="C124" i="5" s="1"/>
  <c r="B125" i="5"/>
  <c r="C125" i="5" s="1"/>
  <c r="B126" i="5"/>
  <c r="C126" i="5" s="1"/>
  <c r="B127" i="5"/>
  <c r="C127" i="5" s="1"/>
  <c r="B128" i="5"/>
  <c r="C128" i="5" s="1"/>
  <c r="B129" i="5"/>
  <c r="C129" i="5" s="1"/>
  <c r="B130" i="5"/>
  <c r="C130" i="5" s="1"/>
  <c r="B131" i="5"/>
  <c r="C131" i="5" s="1"/>
  <c r="B132" i="5"/>
  <c r="C132" i="5" s="1"/>
  <c r="B133" i="5"/>
  <c r="C133" i="5" s="1"/>
  <c r="B134" i="5"/>
  <c r="C134" i="5" s="1"/>
  <c r="B135" i="5"/>
  <c r="C135" i="5" s="1"/>
  <c r="B136" i="5"/>
  <c r="C136" i="5" s="1"/>
  <c r="B137" i="5"/>
  <c r="C137" i="5" s="1"/>
  <c r="B138" i="5"/>
  <c r="C138" i="5" s="1"/>
  <c r="B139" i="5"/>
  <c r="C139" i="5" s="1"/>
  <c r="B140" i="5"/>
  <c r="C140" i="5" s="1"/>
  <c r="B141" i="5"/>
  <c r="C141" i="5" s="1"/>
  <c r="B142" i="5"/>
  <c r="C142" i="5" s="1"/>
  <c r="B143" i="5"/>
  <c r="C143" i="5" s="1"/>
  <c r="B144" i="5"/>
  <c r="C144" i="5" s="1"/>
  <c r="B145" i="5"/>
  <c r="C145" i="5" s="1"/>
  <c r="B146" i="5"/>
  <c r="C146" i="5" s="1"/>
  <c r="B147" i="5"/>
  <c r="C147" i="5" s="1"/>
  <c r="B148" i="5"/>
  <c r="C148" i="5" s="1"/>
  <c r="B149" i="5"/>
  <c r="C149" i="5" s="1"/>
  <c r="B150" i="5"/>
  <c r="C150" i="5" s="1"/>
  <c r="B151" i="5"/>
  <c r="C151" i="5" s="1"/>
  <c r="B152" i="5"/>
  <c r="C152" i="5" s="1"/>
  <c r="B153" i="5"/>
  <c r="C153" i="5" s="1"/>
  <c r="B154" i="5"/>
  <c r="C154" i="5" s="1"/>
  <c r="B155" i="5"/>
  <c r="C155" i="5" s="1"/>
  <c r="B156" i="5"/>
  <c r="C156" i="5" s="1"/>
  <c r="B157" i="5"/>
  <c r="C157" i="5" s="1"/>
  <c r="B158" i="5"/>
  <c r="C158" i="5" s="1"/>
  <c r="B159" i="5"/>
  <c r="C159" i="5" s="1"/>
  <c r="B160" i="5"/>
  <c r="C160" i="5" s="1"/>
  <c r="B161" i="5"/>
  <c r="C161" i="5" s="1"/>
  <c r="B162" i="5"/>
  <c r="C162" i="5" s="1"/>
  <c r="B163" i="5"/>
  <c r="C163" i="5" s="1"/>
  <c r="B164" i="5"/>
  <c r="C164" i="5" s="1"/>
  <c r="B165" i="5"/>
  <c r="C165" i="5" s="1"/>
  <c r="B166" i="5"/>
  <c r="C166" i="5" s="1"/>
  <c r="B167" i="5"/>
  <c r="C167" i="5" s="1"/>
  <c r="B168" i="5"/>
  <c r="C168" i="5" s="1"/>
  <c r="B169" i="5"/>
  <c r="C169" i="5" s="1"/>
  <c r="B170" i="5"/>
  <c r="C170" i="5" s="1"/>
  <c r="B171" i="5"/>
  <c r="C171" i="5" s="1"/>
  <c r="B172" i="5"/>
  <c r="C172" i="5" s="1"/>
  <c r="B173" i="5"/>
  <c r="C173" i="5" s="1"/>
  <c r="B174" i="5"/>
  <c r="C174" i="5" s="1"/>
  <c r="B175" i="5"/>
  <c r="C175" i="5" s="1"/>
  <c r="B176" i="5"/>
  <c r="C176" i="5" s="1"/>
  <c r="B177" i="5"/>
  <c r="C177" i="5" s="1"/>
  <c r="B178" i="5"/>
  <c r="C178" i="5" s="1"/>
  <c r="B179" i="5"/>
  <c r="C179" i="5" s="1"/>
  <c r="B180" i="5"/>
  <c r="C180" i="5" s="1"/>
  <c r="B181" i="5"/>
  <c r="C181" i="5" s="1"/>
  <c r="B182" i="5"/>
  <c r="C182" i="5" s="1"/>
  <c r="B183" i="5"/>
  <c r="C183" i="5" s="1"/>
  <c r="B184" i="5"/>
  <c r="C184" i="5" s="1"/>
  <c r="B185" i="5"/>
  <c r="C185" i="5" s="1"/>
  <c r="B186" i="5"/>
  <c r="C186" i="5" s="1"/>
  <c r="B187" i="5"/>
  <c r="C187" i="5" s="1"/>
  <c r="B188" i="5"/>
  <c r="C188" i="5" s="1"/>
  <c r="B189" i="5"/>
  <c r="C189" i="5" s="1"/>
  <c r="B190" i="5"/>
  <c r="C190" i="5" s="1"/>
  <c r="B191" i="5"/>
  <c r="C191" i="5" s="1"/>
  <c r="B192" i="5"/>
  <c r="C192" i="5" s="1"/>
  <c r="B193" i="5"/>
  <c r="C193" i="5" s="1"/>
  <c r="B194" i="5"/>
  <c r="C194" i="5" s="1"/>
  <c r="B195" i="5"/>
  <c r="C195" i="5" s="1"/>
  <c r="B196" i="5"/>
  <c r="C196" i="5" s="1"/>
  <c r="B197" i="5"/>
  <c r="C197" i="5" s="1"/>
  <c r="B198" i="5"/>
  <c r="C198" i="5" s="1"/>
  <c r="B199" i="5"/>
  <c r="C199" i="5" s="1"/>
  <c r="B200" i="5"/>
  <c r="C200" i="5" s="1"/>
  <c r="B201" i="5"/>
  <c r="C201" i="5" s="1"/>
  <c r="B202" i="5"/>
  <c r="C202" i="5" s="1"/>
  <c r="B203" i="5"/>
  <c r="C203" i="5" s="1"/>
  <c r="B4" i="5"/>
  <c r="C4" i="5" s="1"/>
  <c r="K7" i="7" l="1" a="1"/>
  <c r="K7" i="7" s="1"/>
  <c r="K8" i="7" a="1"/>
  <c r="K8" i="7" s="1"/>
  <c r="K9" i="7" a="1"/>
  <c r="K9" i="7" s="1"/>
  <c r="K10" i="7" a="1"/>
  <c r="K10" i="7" s="1"/>
  <c r="K11" i="7" a="1"/>
  <c r="K11" i="7" s="1"/>
  <c r="K12" i="7" a="1"/>
  <c r="K12" i="7" s="1"/>
  <c r="K13" i="7" a="1"/>
  <c r="K13" i="7" s="1"/>
  <c r="K14" i="7" a="1"/>
  <c r="K14" i="7" s="1"/>
  <c r="K15" i="7" a="1"/>
  <c r="K15" i="7" s="1"/>
  <c r="K16" i="7" a="1"/>
  <c r="K16" i="7" s="1"/>
  <c r="K17" i="7" a="1"/>
  <c r="K17" i="7" s="1"/>
  <c r="K18" i="7" a="1"/>
  <c r="K18" i="7" s="1"/>
  <c r="K19" i="7" a="1"/>
  <c r="K19" i="7" s="1"/>
  <c r="K20" i="7" a="1"/>
  <c r="K20" i="7" s="1"/>
  <c r="K21" i="7" a="1"/>
  <c r="K21" i="7" s="1"/>
  <c r="K22" i="7" a="1"/>
  <c r="K22" i="7" s="1"/>
  <c r="K23" i="7" a="1"/>
  <c r="K23" i="7" s="1"/>
  <c r="K24" i="7" a="1"/>
  <c r="K24" i="7" s="1"/>
  <c r="K25" i="7" a="1"/>
  <c r="K25" i="7" s="1"/>
  <c r="K26" i="7" a="1"/>
  <c r="K26" i="7" s="1"/>
  <c r="K27" i="7" a="1"/>
  <c r="K27" i="7" s="1"/>
  <c r="K28" i="7" a="1"/>
  <c r="K28" i="7" s="1"/>
  <c r="K29" i="7" a="1"/>
  <c r="K29" i="7" s="1"/>
  <c r="K30" i="7" a="1"/>
  <c r="K30" i="7" s="1"/>
  <c r="K31" i="7" a="1"/>
  <c r="K31" i="7" s="1"/>
  <c r="K32" i="7" a="1"/>
  <c r="K32" i="7" s="1"/>
  <c r="K33" i="7" a="1"/>
  <c r="K33" i="7" s="1"/>
  <c r="K34" i="7" a="1"/>
  <c r="K34" i="7" s="1"/>
  <c r="K35" i="7" a="1"/>
  <c r="K35" i="7" s="1"/>
  <c r="K36" i="7" a="1"/>
  <c r="K36" i="7" s="1"/>
  <c r="K37" i="7" a="1"/>
  <c r="K37" i="7" s="1"/>
  <c r="K38" i="7" a="1"/>
  <c r="K38" i="7" s="1"/>
  <c r="K39" i="7" a="1"/>
  <c r="K39" i="7" s="1"/>
  <c r="K40" i="7" a="1"/>
  <c r="K40" i="7" s="1"/>
  <c r="K41" i="7" a="1"/>
  <c r="K41" i="7" s="1"/>
  <c r="K42" i="7" a="1"/>
  <c r="K42" i="7" s="1"/>
  <c r="K43" i="7" a="1"/>
  <c r="K43" i="7" s="1"/>
  <c r="K44" i="7" a="1"/>
  <c r="K44" i="7" s="1"/>
  <c r="K45" i="7" a="1"/>
  <c r="K45" i="7" s="1"/>
  <c r="K46" i="7" a="1"/>
  <c r="K46" i="7" s="1"/>
  <c r="K47" i="7" a="1"/>
  <c r="K47" i="7" s="1"/>
  <c r="K48" i="7" a="1"/>
  <c r="K48" i="7" s="1"/>
  <c r="K49" i="7" a="1"/>
  <c r="K49" i="7" s="1"/>
  <c r="K50" i="7" a="1"/>
  <c r="K50" i="7" s="1"/>
  <c r="K51" i="7" a="1"/>
  <c r="K51" i="7" s="1"/>
  <c r="K52" i="7" a="1"/>
  <c r="K52" i="7" s="1"/>
  <c r="K53" i="7" a="1"/>
  <c r="K53" i="7" s="1"/>
  <c r="K54" i="7" a="1"/>
  <c r="K54" i="7" s="1"/>
  <c r="K55" i="7" a="1"/>
  <c r="K55" i="7" s="1"/>
  <c r="K56" i="7" a="1"/>
  <c r="K56" i="7" s="1"/>
  <c r="K57" i="7" a="1"/>
  <c r="K57" i="7" s="1"/>
  <c r="K58" i="7" a="1"/>
  <c r="K58" i="7" s="1"/>
  <c r="K59" i="7" a="1"/>
  <c r="K59" i="7" s="1"/>
  <c r="K60" i="7" a="1"/>
  <c r="K60" i="7" s="1"/>
  <c r="K61" i="7" a="1"/>
  <c r="K61" i="7" s="1"/>
  <c r="K62" i="7" a="1"/>
  <c r="K62" i="7" s="1"/>
  <c r="K63" i="7" a="1"/>
  <c r="K63" i="7" s="1"/>
  <c r="K64" i="7" a="1"/>
  <c r="K64" i="7" s="1"/>
  <c r="K65" i="7" a="1"/>
  <c r="K65" i="7" s="1"/>
  <c r="K66" i="7" a="1"/>
  <c r="K66" i="7" s="1"/>
  <c r="K67" i="7" a="1"/>
  <c r="K67" i="7" s="1"/>
  <c r="K68" i="7" a="1"/>
  <c r="K68" i="7" s="1"/>
  <c r="K69" i="7" a="1"/>
  <c r="K69" i="7" s="1"/>
  <c r="K70" i="7" a="1"/>
  <c r="K70" i="7" s="1"/>
  <c r="K71" i="7" a="1"/>
  <c r="K71" i="7" s="1"/>
  <c r="K72" i="7" a="1"/>
  <c r="K72" i="7" s="1"/>
  <c r="K73" i="7" a="1"/>
  <c r="K73" i="7" s="1"/>
  <c r="K74" i="7" a="1"/>
  <c r="K74" i="7" s="1"/>
  <c r="K75" i="7" a="1"/>
  <c r="K75" i="7" s="1"/>
  <c r="K76" i="7" a="1"/>
  <c r="K76" i="7" s="1"/>
  <c r="K77" i="7" a="1"/>
  <c r="K77" i="7" s="1"/>
  <c r="K78" i="7" a="1"/>
  <c r="K78" i="7" s="1"/>
  <c r="K79" i="7" a="1"/>
  <c r="K79" i="7" s="1"/>
  <c r="K80" i="7" a="1"/>
  <c r="K80" i="7" s="1"/>
  <c r="K81" i="7" a="1"/>
  <c r="K81" i="7" s="1"/>
  <c r="K82" i="7" a="1"/>
  <c r="K82" i="7" s="1"/>
  <c r="K83" i="7" a="1"/>
  <c r="K83" i="7" s="1"/>
  <c r="K84" i="7" a="1"/>
  <c r="K84" i="7" s="1"/>
  <c r="K85" i="7" a="1"/>
  <c r="K85" i="7" s="1"/>
  <c r="K86" i="7" a="1"/>
  <c r="K86" i="7" s="1"/>
  <c r="K87" i="7" a="1"/>
  <c r="K87" i="7" s="1"/>
  <c r="K88" i="7" a="1"/>
  <c r="K88" i="7" s="1"/>
  <c r="K89" i="7" a="1"/>
  <c r="K89" i="7" s="1"/>
  <c r="K90" i="7" a="1"/>
  <c r="K90" i="7" s="1"/>
  <c r="K91" i="7" a="1"/>
  <c r="K91" i="7" s="1"/>
  <c r="K92" i="7" a="1"/>
  <c r="K92" i="7" s="1"/>
  <c r="K93" i="7" a="1"/>
  <c r="K93" i="7" s="1"/>
  <c r="K94" i="7" a="1"/>
  <c r="K94" i="7" s="1"/>
  <c r="K95" i="7" a="1"/>
  <c r="K95" i="7" s="1"/>
  <c r="K96" i="7" a="1"/>
  <c r="K96" i="7" s="1"/>
  <c r="K97" i="7" a="1"/>
  <c r="K97" i="7" s="1"/>
  <c r="K98" i="7" a="1"/>
  <c r="K98" i="7" s="1"/>
  <c r="K99" i="7" a="1"/>
  <c r="K99" i="7" s="1"/>
  <c r="K100" i="7" a="1"/>
  <c r="K100" i="7" s="1"/>
  <c r="K101" i="7" a="1"/>
  <c r="K101" i="7" s="1"/>
  <c r="K102" i="7" a="1"/>
  <c r="K102" i="7" s="1"/>
  <c r="K103" i="7" a="1"/>
  <c r="K103" i="7" s="1"/>
  <c r="K104" i="7" a="1"/>
  <c r="K104" i="7" s="1"/>
  <c r="K105" i="7" a="1"/>
  <c r="K105" i="7" s="1"/>
  <c r="K106" i="7" a="1"/>
  <c r="K106" i="7" s="1"/>
  <c r="K107" i="7" a="1"/>
  <c r="K107" i="7" s="1"/>
  <c r="K108" i="7" a="1"/>
  <c r="K108" i="7" s="1"/>
  <c r="K109" i="7" a="1"/>
  <c r="K109" i="7" s="1"/>
  <c r="K110" i="7" a="1"/>
  <c r="K110" i="7" s="1"/>
  <c r="K111" i="7" a="1"/>
  <c r="K111" i="7" s="1"/>
  <c r="K112" i="7" a="1"/>
  <c r="K112" i="7" s="1"/>
  <c r="K113" i="7" a="1"/>
  <c r="K113" i="7" s="1"/>
  <c r="K114" i="7" a="1"/>
  <c r="K114" i="7" s="1"/>
  <c r="K115" i="7" a="1"/>
  <c r="K115" i="7" s="1"/>
  <c r="K116" i="7" a="1"/>
  <c r="K116" i="7" s="1"/>
  <c r="K117" i="7" a="1"/>
  <c r="K117" i="7" s="1"/>
  <c r="K118" i="7" a="1"/>
  <c r="K118" i="7" s="1"/>
  <c r="K119" i="7" a="1"/>
  <c r="K119" i="7" s="1"/>
  <c r="K120" i="7" a="1"/>
  <c r="K120" i="7" s="1"/>
  <c r="K121" i="7" a="1"/>
  <c r="K121" i="7" s="1"/>
  <c r="K122" i="7" a="1"/>
  <c r="K122" i="7" s="1"/>
  <c r="K123" i="7" a="1"/>
  <c r="K123" i="7" s="1"/>
  <c r="K124" i="7" a="1"/>
  <c r="K124" i="7" s="1"/>
  <c r="K125" i="7" a="1"/>
  <c r="K125" i="7" s="1"/>
  <c r="K126" i="7" a="1"/>
  <c r="K126" i="7" s="1"/>
  <c r="K127" i="7" a="1"/>
  <c r="K127" i="7" s="1"/>
  <c r="K128" i="7" a="1"/>
  <c r="K128" i="7" s="1"/>
  <c r="K129" i="7" a="1"/>
  <c r="K129" i="7" s="1"/>
  <c r="K130" i="7" a="1"/>
  <c r="K130" i="7" s="1"/>
  <c r="K131" i="7" a="1"/>
  <c r="K131" i="7" s="1"/>
  <c r="K132" i="7" a="1"/>
  <c r="K132" i="7" s="1"/>
  <c r="K133" i="7" a="1"/>
  <c r="K133" i="7" s="1"/>
  <c r="K134" i="7" a="1"/>
  <c r="K134" i="7" s="1"/>
  <c r="K135" i="7" a="1"/>
  <c r="K135" i="7" s="1"/>
  <c r="K136" i="7" a="1"/>
  <c r="K136" i="7" s="1"/>
  <c r="K137" i="7" a="1"/>
  <c r="K137" i="7" s="1"/>
  <c r="K138" i="7" a="1"/>
  <c r="K138" i="7" s="1"/>
  <c r="K139" i="7" a="1"/>
  <c r="K139" i="7" s="1"/>
  <c r="K140" i="7" a="1"/>
  <c r="K140" i="7" s="1"/>
  <c r="K141" i="7" a="1"/>
  <c r="K141" i="7" s="1"/>
  <c r="K142" i="7" a="1"/>
  <c r="K142" i="7" s="1"/>
  <c r="K143" i="7" a="1"/>
  <c r="K143" i="7" s="1"/>
  <c r="K144" i="7" a="1"/>
  <c r="K144" i="7" s="1"/>
  <c r="K145" i="7" a="1"/>
  <c r="K145" i="7" s="1"/>
  <c r="K146" i="7" a="1"/>
  <c r="K146" i="7" s="1"/>
  <c r="K147" i="7" a="1"/>
  <c r="K147" i="7" s="1"/>
  <c r="K148" i="7" a="1"/>
  <c r="K148" i="7" s="1"/>
  <c r="K149" i="7" a="1"/>
  <c r="K149" i="7" s="1"/>
  <c r="K150" i="7" a="1"/>
  <c r="K150" i="7" s="1"/>
  <c r="K151" i="7" a="1"/>
  <c r="K151" i="7" s="1"/>
  <c r="K152" i="7" a="1"/>
  <c r="K152" i="7" s="1"/>
  <c r="K153" i="7" a="1"/>
  <c r="K153" i="7" s="1"/>
  <c r="K154" i="7" a="1"/>
  <c r="K154" i="7" s="1"/>
  <c r="K155" i="7" a="1"/>
  <c r="K155" i="7" s="1"/>
  <c r="K156" i="7" a="1"/>
  <c r="K156" i="7" s="1"/>
  <c r="K157" i="7" a="1"/>
  <c r="K157" i="7" s="1"/>
  <c r="K158" i="7" a="1"/>
  <c r="K158" i="7" s="1"/>
  <c r="K159" i="7" a="1"/>
  <c r="K159" i="7" s="1"/>
  <c r="K160" i="7" a="1"/>
  <c r="K160" i="7" s="1"/>
  <c r="K161" i="7" a="1"/>
  <c r="K161" i="7" s="1"/>
  <c r="K162" i="7" a="1"/>
  <c r="K162" i="7" s="1"/>
  <c r="K163" i="7" a="1"/>
  <c r="K163" i="7" s="1"/>
  <c r="K164" i="7" a="1"/>
  <c r="K164" i="7" s="1"/>
  <c r="K165" i="7" a="1"/>
  <c r="K165" i="7" s="1"/>
  <c r="K166" i="7" a="1"/>
  <c r="K166" i="7" s="1"/>
  <c r="K167" i="7" a="1"/>
  <c r="K167" i="7" s="1"/>
  <c r="K168" i="7" a="1"/>
  <c r="K168" i="7" s="1"/>
  <c r="K169" i="7" a="1"/>
  <c r="K169" i="7" s="1"/>
  <c r="K170" i="7" a="1"/>
  <c r="K170" i="7" s="1"/>
  <c r="K171" i="7" a="1"/>
  <c r="K171" i="7" s="1"/>
  <c r="K172" i="7" a="1"/>
  <c r="K172" i="7" s="1"/>
  <c r="K173" i="7" a="1"/>
  <c r="K173" i="7" s="1"/>
  <c r="K174" i="7" a="1"/>
  <c r="K174" i="7" s="1"/>
  <c r="K175" i="7" a="1"/>
  <c r="K175" i="7" s="1"/>
  <c r="K176" i="7" a="1"/>
  <c r="K176" i="7" s="1"/>
  <c r="K177" i="7" a="1"/>
  <c r="K177" i="7" s="1"/>
  <c r="K178" i="7" a="1"/>
  <c r="K178" i="7" s="1"/>
  <c r="K179" i="7" a="1"/>
  <c r="K179" i="7" s="1"/>
  <c r="K180" i="7" a="1"/>
  <c r="K180" i="7" s="1"/>
  <c r="K181" i="7" a="1"/>
  <c r="K181" i="7" s="1"/>
  <c r="K182" i="7" a="1"/>
  <c r="K182" i="7" s="1"/>
  <c r="K183" i="7" a="1"/>
  <c r="K183" i="7" s="1"/>
  <c r="K184" i="7" a="1"/>
  <c r="K184" i="7" s="1"/>
  <c r="K185" i="7" a="1"/>
  <c r="K185" i="7" s="1"/>
  <c r="K186" i="7" a="1"/>
  <c r="K186" i="7" s="1"/>
  <c r="K187" i="7" a="1"/>
  <c r="K187" i="7" s="1"/>
  <c r="K188" i="7" a="1"/>
  <c r="K188" i="7" s="1"/>
  <c r="K189" i="7" a="1"/>
  <c r="K189" i="7" s="1"/>
  <c r="K190" i="7" a="1"/>
  <c r="K190" i="7" s="1"/>
  <c r="K191" i="7" a="1"/>
  <c r="K191" i="7" s="1"/>
  <c r="K192" i="7" a="1"/>
  <c r="K192" i="7" s="1"/>
  <c r="K193" i="7" a="1"/>
  <c r="K193" i="7" s="1"/>
  <c r="K194" i="7" a="1"/>
  <c r="K194" i="7" s="1"/>
  <c r="K195" i="7" a="1"/>
  <c r="K195" i="7" s="1"/>
  <c r="K196" i="7" a="1"/>
  <c r="K196" i="7" s="1"/>
  <c r="K197" i="7" a="1"/>
  <c r="K197" i="7" s="1"/>
  <c r="K198" i="7" a="1"/>
  <c r="K198" i="7" s="1"/>
  <c r="K199" i="7" a="1"/>
  <c r="K199" i="7" s="1"/>
  <c r="K200" i="7" a="1"/>
  <c r="K200" i="7" s="1"/>
  <c r="K201" i="7" a="1"/>
  <c r="K201" i="7" s="1"/>
  <c r="K202" i="7" a="1"/>
  <c r="K202" i="7" s="1"/>
  <c r="K4" i="7" a="1"/>
  <c r="K4" i="7" s="1"/>
  <c r="K5" i="7" a="1"/>
  <c r="K5" i="7" s="1"/>
  <c r="K6" i="7" a="1"/>
  <c r="K6" i="7" s="1"/>
  <c r="K3" i="7" a="1"/>
  <c r="K3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<sst xmlns="http://schemas.openxmlformats.org/spreadsheetml/2006/main" count="4730" uniqueCount="442">
  <si>
    <t>Date</t>
  </si>
  <si>
    <t>Order ID</t>
  </si>
  <si>
    <t>Product</t>
  </si>
  <si>
    <t>Region</t>
  </si>
  <si>
    <t>Sales Rep</t>
  </si>
  <si>
    <t>Units Sold</t>
  </si>
  <si>
    <t>Unit Price</t>
  </si>
  <si>
    <t>Total Sales</t>
  </si>
  <si>
    <t>Apr 28, 2025</t>
  </si>
  <si>
    <t>ORD001</t>
  </si>
  <si>
    <t>Laptop</t>
  </si>
  <si>
    <t>South</t>
  </si>
  <si>
    <t>Rohit</t>
  </si>
  <si>
    <t>2025-04-08</t>
  </si>
  <si>
    <t>ORD002</t>
  </si>
  <si>
    <t>Accessories</t>
  </si>
  <si>
    <t>Amit</t>
  </si>
  <si>
    <t>2025-03-02</t>
  </si>
  <si>
    <t>ORD003</t>
  </si>
  <si>
    <t>Tablet</t>
  </si>
  <si>
    <t>Sonia</t>
  </si>
  <si>
    <t>2025-02-05</t>
  </si>
  <si>
    <t>ORD004</t>
  </si>
  <si>
    <t>Mobile</t>
  </si>
  <si>
    <t>North</t>
  </si>
  <si>
    <t>Neha</t>
  </si>
  <si>
    <t>Feb 18, 2025</t>
  </si>
  <si>
    <t>ORD005</t>
  </si>
  <si>
    <t xml:space="preserve"> Mobile </t>
  </si>
  <si>
    <t>East</t>
  </si>
  <si>
    <t>Riya</t>
  </si>
  <si>
    <t>Feb 20, 2025</t>
  </si>
  <si>
    <t>ORD006</t>
  </si>
  <si>
    <t>Karan</t>
  </si>
  <si>
    <t>Jun 06, 2025</t>
  </si>
  <si>
    <t>ORD007</t>
  </si>
  <si>
    <t>04/04/2025</t>
  </si>
  <si>
    <t>ORD008</t>
  </si>
  <si>
    <t>Tina</t>
  </si>
  <si>
    <t>01/04/2025</t>
  </si>
  <si>
    <t>ORD009</t>
  </si>
  <si>
    <t xml:space="preserve"> Sonia </t>
  </si>
  <si>
    <t>07/06/2025</t>
  </si>
  <si>
    <t>ORD010</t>
  </si>
  <si>
    <t>Mar 15, 2025</t>
  </si>
  <si>
    <t>ORD011</t>
  </si>
  <si>
    <t>Manish</t>
  </si>
  <si>
    <t>Apr 25, 2025</t>
  </si>
  <si>
    <t>ORD012</t>
  </si>
  <si>
    <t>26/03/2025</t>
  </si>
  <si>
    <t>ORD013</t>
  </si>
  <si>
    <t>West</t>
  </si>
  <si>
    <t xml:space="preserve"> Tina </t>
  </si>
  <si>
    <t>ORD014</t>
  </si>
  <si>
    <t xml:space="preserve"> Accessories </t>
  </si>
  <si>
    <t>May 31, 2025</t>
  </si>
  <si>
    <t>ORD015</t>
  </si>
  <si>
    <t xml:space="preserve"> Laptop </t>
  </si>
  <si>
    <t xml:space="preserve"> Neha </t>
  </si>
  <si>
    <t>2025-04-24</t>
  </si>
  <si>
    <t>ORD016</t>
  </si>
  <si>
    <t>Priya</t>
  </si>
  <si>
    <t>08/01/2025</t>
  </si>
  <si>
    <t>ORD017</t>
  </si>
  <si>
    <t>21/03/2025</t>
  </si>
  <si>
    <t>ORD018</t>
  </si>
  <si>
    <t>2025-03-13</t>
  </si>
  <si>
    <t>ORD019</t>
  </si>
  <si>
    <t>24/05/2025</t>
  </si>
  <si>
    <t>ORD020</t>
  </si>
  <si>
    <t>Jun 09, 2025</t>
  </si>
  <si>
    <t>ORD021</t>
  </si>
  <si>
    <t>Vivek</t>
  </si>
  <si>
    <t>Jun 16, 2025</t>
  </si>
  <si>
    <t>ORD022</t>
  </si>
  <si>
    <t>2025-06-19</t>
  </si>
  <si>
    <t>ORD023</t>
  </si>
  <si>
    <t>2025-02-09</t>
  </si>
  <si>
    <t>ORD024</t>
  </si>
  <si>
    <t>2025-01-19</t>
  </si>
  <si>
    <t>ORD025</t>
  </si>
  <si>
    <t>Mar 10, 2025</t>
  </si>
  <si>
    <t>ORD026</t>
  </si>
  <si>
    <t>2025-06-12</t>
  </si>
  <si>
    <t>ORD027</t>
  </si>
  <si>
    <t xml:space="preserve"> Vivek </t>
  </si>
  <si>
    <t>26/01/2025</t>
  </si>
  <si>
    <t>ORD028</t>
  </si>
  <si>
    <t>Jun 29, 2025</t>
  </si>
  <si>
    <t>ORD029</t>
  </si>
  <si>
    <t>2025-06-26</t>
  </si>
  <si>
    <t>ORD030</t>
  </si>
  <si>
    <t>2025-05-26</t>
  </si>
  <si>
    <t>ORD031</t>
  </si>
  <si>
    <t>2025-05-12</t>
  </si>
  <si>
    <t>ORD032</t>
  </si>
  <si>
    <t>17/06/2025</t>
  </si>
  <si>
    <t>ORD033</t>
  </si>
  <si>
    <t>2025-06-02</t>
  </si>
  <si>
    <t>ORD034</t>
  </si>
  <si>
    <t>2025-04-21</t>
  </si>
  <si>
    <t>ORD035</t>
  </si>
  <si>
    <t>2025-01-23</t>
  </si>
  <si>
    <t>ORD036</t>
  </si>
  <si>
    <t>May 03, 2025</t>
  </si>
  <si>
    <t>ORD037</t>
  </si>
  <si>
    <t>2025-06-28</t>
  </si>
  <si>
    <t>ORD038</t>
  </si>
  <si>
    <t>22/06/2025</t>
  </si>
  <si>
    <t>ORD039</t>
  </si>
  <si>
    <t>12/05/2025</t>
  </si>
  <si>
    <t>ORD040</t>
  </si>
  <si>
    <t>13/04/2025</t>
  </si>
  <si>
    <t>ORD041</t>
  </si>
  <si>
    <t>May 17, 2025</t>
  </si>
  <si>
    <t>ORD042</t>
  </si>
  <si>
    <t>Moblie</t>
  </si>
  <si>
    <t xml:space="preserve"> Manish </t>
  </si>
  <si>
    <t>2025-02-24</t>
  </si>
  <si>
    <t>ORD043</t>
  </si>
  <si>
    <t>2025-03-11</t>
  </si>
  <si>
    <t>ORD044</t>
  </si>
  <si>
    <t>Jun 24, 2025</t>
  </si>
  <si>
    <t>ORD045</t>
  </si>
  <si>
    <t>2025-02-17</t>
  </si>
  <si>
    <t>ORD046</t>
  </si>
  <si>
    <t>2025-01-20</t>
  </si>
  <si>
    <t>ORD047</t>
  </si>
  <si>
    <t>2025-06-04</t>
  </si>
  <si>
    <t>ORD048</t>
  </si>
  <si>
    <t>2025-03-16</t>
  </si>
  <si>
    <t>ORD049</t>
  </si>
  <si>
    <t>2025-02-15</t>
  </si>
  <si>
    <t>ORD050</t>
  </si>
  <si>
    <t>16/03/2025</t>
  </si>
  <si>
    <t>ORD051</t>
  </si>
  <si>
    <t>2025-06-07</t>
  </si>
  <si>
    <t>ORD052</t>
  </si>
  <si>
    <t>ORD053</t>
  </si>
  <si>
    <t>2025-01-29</t>
  </si>
  <si>
    <t>ORD054</t>
  </si>
  <si>
    <t>2025-06-11</t>
  </si>
  <si>
    <t>ORD055</t>
  </si>
  <si>
    <t>Lapotp</t>
  </si>
  <si>
    <t>2025-05-27</t>
  </si>
  <si>
    <t>ORD056</t>
  </si>
  <si>
    <t>18/03/2025</t>
  </si>
  <si>
    <t>ORD057</t>
  </si>
  <si>
    <t>2025-02-23</t>
  </si>
  <si>
    <t>ORD058</t>
  </si>
  <si>
    <t>ORD059</t>
  </si>
  <si>
    <t>22/04/2025</t>
  </si>
  <si>
    <t>ORD060</t>
  </si>
  <si>
    <t>08/06/2025</t>
  </si>
  <si>
    <t>ORD061</t>
  </si>
  <si>
    <t>May 26, 2025</t>
  </si>
  <si>
    <t>ORD062</t>
  </si>
  <si>
    <t>01/01/2025</t>
  </si>
  <si>
    <t>ORD063</t>
  </si>
  <si>
    <t>ORD064</t>
  </si>
  <si>
    <t>05/04/2025</t>
  </si>
  <si>
    <t>ORD065</t>
  </si>
  <si>
    <t>May 09, 2025</t>
  </si>
  <si>
    <t>ORD066</t>
  </si>
  <si>
    <t>Jan 07, 2025</t>
  </si>
  <si>
    <t>ORD067</t>
  </si>
  <si>
    <t>2025-06-18</t>
  </si>
  <si>
    <t>ORD068</t>
  </si>
  <si>
    <t>15/01/2025</t>
  </si>
  <si>
    <t>ORD069</t>
  </si>
  <si>
    <t>Feb 04, 2025</t>
  </si>
  <si>
    <t>ORD070</t>
  </si>
  <si>
    <t>18/04/2025</t>
  </si>
  <si>
    <t>ORD071</t>
  </si>
  <si>
    <t>27/01/2025</t>
  </si>
  <si>
    <t>ORD072</t>
  </si>
  <si>
    <t xml:space="preserve"> Tablet </t>
  </si>
  <si>
    <t>2025-05-06</t>
  </si>
  <si>
    <t>ORD073</t>
  </si>
  <si>
    <t>2025-02-13</t>
  </si>
  <si>
    <t>ORD074</t>
  </si>
  <si>
    <t>2025-05-11</t>
  </si>
  <si>
    <t>ORD075</t>
  </si>
  <si>
    <t xml:space="preserve"> Rohit </t>
  </si>
  <si>
    <t>ORD076</t>
  </si>
  <si>
    <t>2025-01-10</t>
  </si>
  <si>
    <t>ORD077</t>
  </si>
  <si>
    <t>20/02/2025</t>
  </si>
  <si>
    <t>ORD078</t>
  </si>
  <si>
    <t>09/01/2025</t>
  </si>
  <si>
    <t>ORD079</t>
  </si>
  <si>
    <t>13/01/2025</t>
  </si>
  <si>
    <t>ORD080</t>
  </si>
  <si>
    <t>ORD081</t>
  </si>
  <si>
    <t>2025-03-26</t>
  </si>
  <si>
    <t>ORD082</t>
  </si>
  <si>
    <t>Jan 02, 2025</t>
  </si>
  <si>
    <t>ORD083</t>
  </si>
  <si>
    <t>10/06/2025</t>
  </si>
  <si>
    <t>ORD084</t>
  </si>
  <si>
    <t>ORD085</t>
  </si>
  <si>
    <t>2025-01-05</t>
  </si>
  <si>
    <t>ORD086</t>
  </si>
  <si>
    <t>19/06/2025</t>
  </si>
  <si>
    <t>ORD087</t>
  </si>
  <si>
    <t>27/06/2025</t>
  </si>
  <si>
    <t>ORD088</t>
  </si>
  <si>
    <t>Mar 07, 2025</t>
  </si>
  <si>
    <t>ORD089</t>
  </si>
  <si>
    <t xml:space="preserve"> Accesories </t>
  </si>
  <si>
    <t>2025-04-13</t>
  </si>
  <si>
    <t>ORD090</t>
  </si>
  <si>
    <t>ORD091</t>
  </si>
  <si>
    <t>08/03/2025</t>
  </si>
  <si>
    <t>ORD092</t>
  </si>
  <si>
    <t>ORD093</t>
  </si>
  <si>
    <t>2025-06-25</t>
  </si>
  <si>
    <t>ORD094</t>
  </si>
  <si>
    <t>2025-06-08</t>
  </si>
  <si>
    <t>ORD095</t>
  </si>
  <si>
    <t>17/03/2025</t>
  </si>
  <si>
    <t>ORD096</t>
  </si>
  <si>
    <t>12/03/2025</t>
  </si>
  <si>
    <t>ORD097</t>
  </si>
  <si>
    <t>2025-04-12</t>
  </si>
  <si>
    <t>ORD098</t>
  </si>
  <si>
    <t>2025-03-21</t>
  </si>
  <si>
    <t>ORD099</t>
  </si>
  <si>
    <t>ORD100</t>
  </si>
  <si>
    <t>28/03/2025</t>
  </si>
  <si>
    <t>ORD101</t>
  </si>
  <si>
    <t>22/02/2025</t>
  </si>
  <si>
    <t>ORD102</t>
  </si>
  <si>
    <t>2025-04-09</t>
  </si>
  <si>
    <t>ORD103</t>
  </si>
  <si>
    <t>2025-06-21</t>
  </si>
  <si>
    <t>ORD104</t>
  </si>
  <si>
    <t>Mar 27, 2025</t>
  </si>
  <si>
    <t>ORD105</t>
  </si>
  <si>
    <t>Jan 13, 2025</t>
  </si>
  <si>
    <t>ORD106</t>
  </si>
  <si>
    <t>11/02/2025</t>
  </si>
  <si>
    <t>ORD107</t>
  </si>
  <si>
    <t>2025-01-17</t>
  </si>
  <si>
    <t>ORD108</t>
  </si>
  <si>
    <t>2025-04-14</t>
  </si>
  <si>
    <t>ORD109</t>
  </si>
  <si>
    <t>2025-02-03</t>
  </si>
  <si>
    <t>ORD110</t>
  </si>
  <si>
    <t>2025-04-26</t>
  </si>
  <si>
    <t>ORD111</t>
  </si>
  <si>
    <t>Jan 11, 2025</t>
  </si>
  <si>
    <t>ORD112</t>
  </si>
  <si>
    <t>13/02/2025</t>
  </si>
  <si>
    <t>ORD113</t>
  </si>
  <si>
    <t>Mar 24, 2025</t>
  </si>
  <si>
    <t>ORD114</t>
  </si>
  <si>
    <t>2025-01-01</t>
  </si>
  <si>
    <t>ORD115</t>
  </si>
  <si>
    <t>ORD116</t>
  </si>
  <si>
    <t>Accesories</t>
  </si>
  <si>
    <t>ORD117</t>
  </si>
  <si>
    <t>ORD118</t>
  </si>
  <si>
    <t xml:space="preserve"> Tabllet </t>
  </si>
  <si>
    <t>ORD119</t>
  </si>
  <si>
    <t>Jan 30, 2025</t>
  </si>
  <si>
    <t>ORD120</t>
  </si>
  <si>
    <t>17/02/2025</t>
  </si>
  <si>
    <t>ORD121</t>
  </si>
  <si>
    <t>2025-01-03</t>
  </si>
  <si>
    <t>ORD122</t>
  </si>
  <si>
    <t>Mar 09, 2025</t>
  </si>
  <si>
    <t>ORD123</t>
  </si>
  <si>
    <t>2025-05-04</t>
  </si>
  <si>
    <t>ORD124</t>
  </si>
  <si>
    <t>2025-05-09</t>
  </si>
  <si>
    <t>ORD125</t>
  </si>
  <si>
    <t>2025-05-03</t>
  </si>
  <si>
    <t>ORD126</t>
  </si>
  <si>
    <t>May 19, 2025</t>
  </si>
  <si>
    <t>ORD127</t>
  </si>
  <si>
    <t>ORD128</t>
  </si>
  <si>
    <t>14/04/2025</t>
  </si>
  <si>
    <t>ORD129</t>
  </si>
  <si>
    <t>16/02/2025</t>
  </si>
  <si>
    <t>ORD130</t>
  </si>
  <si>
    <t>2025-03-27</t>
  </si>
  <si>
    <t>ORD131</t>
  </si>
  <si>
    <t>2025-06-29</t>
  </si>
  <si>
    <t>ORD132</t>
  </si>
  <si>
    <t>ORD133</t>
  </si>
  <si>
    <t>ORD134</t>
  </si>
  <si>
    <t>ORD135</t>
  </si>
  <si>
    <t>Jan 19, 2025</t>
  </si>
  <si>
    <t>ORD136</t>
  </si>
  <si>
    <t>ORD137</t>
  </si>
  <si>
    <t>2025-04-17</t>
  </si>
  <si>
    <t>ORD138</t>
  </si>
  <si>
    <t>ORD139</t>
  </si>
  <si>
    <t>19/01/2025</t>
  </si>
  <si>
    <t>ORD140</t>
  </si>
  <si>
    <t>May 30, 2025</t>
  </si>
  <si>
    <t>ORD141</t>
  </si>
  <si>
    <t>2025-04-22</t>
  </si>
  <si>
    <t>ORD142</t>
  </si>
  <si>
    <t>ORD143</t>
  </si>
  <si>
    <t>Tabllet</t>
  </si>
  <si>
    <t>ORD144</t>
  </si>
  <si>
    <t>02/06/2025</t>
  </si>
  <si>
    <t>ORD145</t>
  </si>
  <si>
    <t>Apr 19, 2025</t>
  </si>
  <si>
    <t>ORD146</t>
  </si>
  <si>
    <t>2025-03-30</t>
  </si>
  <si>
    <t>ORD147</t>
  </si>
  <si>
    <t>2025-03-15</t>
  </si>
  <si>
    <t>ORD148</t>
  </si>
  <si>
    <t>23/01/2025</t>
  </si>
  <si>
    <t>ORD149</t>
  </si>
  <si>
    <t>ORD150</t>
  </si>
  <si>
    <t>Apr 02, 2025</t>
  </si>
  <si>
    <t>ORD151</t>
  </si>
  <si>
    <t>ORD152</t>
  </si>
  <si>
    <t>ORD153</t>
  </si>
  <si>
    <t xml:space="preserve"> Priya </t>
  </si>
  <si>
    <t>2025-02-12</t>
  </si>
  <si>
    <t>ORD154</t>
  </si>
  <si>
    <t>01/05/2025</t>
  </si>
  <si>
    <t>ORD155</t>
  </si>
  <si>
    <t>26/05/2025</t>
  </si>
  <si>
    <t>ORD156</t>
  </si>
  <si>
    <t>ORD157</t>
  </si>
  <si>
    <t>06/02/2025</t>
  </si>
  <si>
    <t>ORD158</t>
  </si>
  <si>
    <t>2025-01-25</t>
  </si>
  <si>
    <t>ORD159</t>
  </si>
  <si>
    <t>Mar 01, 2025</t>
  </si>
  <si>
    <t>ORD160</t>
  </si>
  <si>
    <t>26/02/2025</t>
  </si>
  <si>
    <t>ORD161</t>
  </si>
  <si>
    <t>05/03/2025</t>
  </si>
  <si>
    <t>ORD162</t>
  </si>
  <si>
    <t>2025-06-13</t>
  </si>
  <si>
    <t>ORD163</t>
  </si>
  <si>
    <t>ORD164</t>
  </si>
  <si>
    <t>ORD165</t>
  </si>
  <si>
    <t>10/05/2025</t>
  </si>
  <si>
    <t>ORD166</t>
  </si>
  <si>
    <t>31/03/2025</t>
  </si>
  <si>
    <t>ORD167</t>
  </si>
  <si>
    <t>2025-01-21</t>
  </si>
  <si>
    <t>ORD168</t>
  </si>
  <si>
    <t>2025-02-27</t>
  </si>
  <si>
    <t>ORD169</t>
  </si>
  <si>
    <t>Feb 05, 2025</t>
  </si>
  <si>
    <t>ORD170</t>
  </si>
  <si>
    <t>ORD171</t>
  </si>
  <si>
    <t>30/06/2025</t>
  </si>
  <si>
    <t>ORD172</t>
  </si>
  <si>
    <t>ORD173</t>
  </si>
  <si>
    <t>Jun 17, 2025</t>
  </si>
  <si>
    <t>ORD174</t>
  </si>
  <si>
    <t>20/04/2025</t>
  </si>
  <si>
    <t>ORD175</t>
  </si>
  <si>
    <t>2025-03-08</t>
  </si>
  <si>
    <t>ORD176</t>
  </si>
  <si>
    <t>ORD177</t>
  </si>
  <si>
    <t>2025-04-01</t>
  </si>
  <si>
    <t>ORD178</t>
  </si>
  <si>
    <t>2025-03-25</t>
  </si>
  <si>
    <t>ORD179</t>
  </si>
  <si>
    <t xml:space="preserve"> Riya </t>
  </si>
  <si>
    <t>05/06/2025</t>
  </si>
  <si>
    <t>ORD180</t>
  </si>
  <si>
    <t>ORD181</t>
  </si>
  <si>
    <t>28/06/2025</t>
  </si>
  <si>
    <t>ORD182</t>
  </si>
  <si>
    <t>ORD183</t>
  </si>
  <si>
    <t>2025-04-07</t>
  </si>
  <si>
    <t>ORD184</t>
  </si>
  <si>
    <t>ORD185</t>
  </si>
  <si>
    <t>11/06/2025</t>
  </si>
  <si>
    <t>ORD186</t>
  </si>
  <si>
    <t>2025-06-14</t>
  </si>
  <si>
    <t>ORD187</t>
  </si>
  <si>
    <t>08/04/2025</t>
  </si>
  <si>
    <t>ORD188</t>
  </si>
  <si>
    <t xml:space="preserve"> Lapotp </t>
  </si>
  <si>
    <t>ORD189</t>
  </si>
  <si>
    <t>Apr 27, 2025</t>
  </si>
  <si>
    <t>ORD190</t>
  </si>
  <si>
    <t>14/01/2025</t>
  </si>
  <si>
    <t>ORD191</t>
  </si>
  <si>
    <t>14/05/2025</t>
  </si>
  <si>
    <t>ORD192</t>
  </si>
  <si>
    <t>11/01/2025</t>
  </si>
  <si>
    <t>ORD193</t>
  </si>
  <si>
    <t>ORD194</t>
  </si>
  <si>
    <t>15/02/2025</t>
  </si>
  <si>
    <t>ORD195</t>
  </si>
  <si>
    <t>ORD196</t>
  </si>
  <si>
    <t>ORD197</t>
  </si>
  <si>
    <t>2025-04-19</t>
  </si>
  <si>
    <t>ORD198</t>
  </si>
  <si>
    <t>ORD199</t>
  </si>
  <si>
    <t xml:space="preserve"> Amit </t>
  </si>
  <si>
    <t>ORD200</t>
  </si>
  <si>
    <t>Date Correction</t>
  </si>
  <si>
    <t>Proper &amp; Trim</t>
  </si>
  <si>
    <t>Number Format</t>
  </si>
  <si>
    <t>Correct Formatted Table</t>
  </si>
  <si>
    <t>Checking format</t>
  </si>
  <si>
    <t/>
  </si>
  <si>
    <t>Contains Missing Values</t>
  </si>
  <si>
    <t>Fixing Missing Values</t>
  </si>
  <si>
    <t>Most Frequent Region</t>
  </si>
  <si>
    <t>Person with most saler per Region</t>
  </si>
  <si>
    <t>Missing Region</t>
  </si>
  <si>
    <t>Corrected Region</t>
  </si>
  <si>
    <t>Missing Sales Rep</t>
  </si>
  <si>
    <t>Corrected Sales Rep</t>
  </si>
  <si>
    <t>Count of Region</t>
  </si>
  <si>
    <t>Count of Sales Rep</t>
  </si>
  <si>
    <t>Grand Total</t>
  </si>
  <si>
    <t>East Total</t>
  </si>
  <si>
    <t>North Total</t>
  </si>
  <si>
    <t>South Total</t>
  </si>
  <si>
    <t>West Total</t>
  </si>
  <si>
    <t>Table</t>
  </si>
  <si>
    <t>Spelling Mistakes</t>
  </si>
  <si>
    <t>Helper Column</t>
  </si>
  <si>
    <t>Mistakes</t>
  </si>
  <si>
    <t>Corrected</t>
  </si>
  <si>
    <t>Fully Corrected Table</t>
  </si>
  <si>
    <t>Sales-Person</t>
  </si>
  <si>
    <t>DASHBOARD</t>
  </si>
  <si>
    <t>REGION</t>
  </si>
  <si>
    <t>Total sales</t>
  </si>
  <si>
    <t>Top Product</t>
  </si>
  <si>
    <t>Top Sales-person</t>
  </si>
  <si>
    <t>Top Sales Month</t>
  </si>
  <si>
    <t>Sum of Units Sold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</si>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</sst>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charset val="1"/>
    </font>
    <font>
      <b/>
      <sz val="14"/>
      <color rgb="FF000000"/>
      <name val="Calibri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Bookman Old Style"/>
    </font>
    <font>
      <b/>
      <sz val="18"/>
      <color theme="1"/>
      <name val="Bookman Old Style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14" fontId="0" fillId="0" borderId="0" xfId="0" applyNumberFormat="1"/>
    <xf numFmtId="1" fontId="0" fillId="0" borderId="0" xfId="0" applyNumberFormat="1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1" fontId="0" fillId="0" borderId="0" xfId="0" applyNumberFormat="1" applyBorder="1"/>
    <xf numFmtId="1" fontId="0" fillId="0" borderId="7" xfId="0" applyNumberFormat="1" applyBorder="1"/>
    <xf numFmtId="0" fontId="0" fillId="0" borderId="9" xfId="0" applyBorder="1"/>
    <xf numFmtId="1" fontId="0" fillId="0" borderId="9" xfId="0" applyNumberFormat="1" applyBorder="1"/>
    <xf numFmtId="1" fontId="0" fillId="0" borderId="10" xfId="0" applyNumberFormat="1" applyBorder="1"/>
    <xf numFmtId="0" fontId="0" fillId="3" borderId="0" xfId="0" applyFill="1"/>
    <xf numFmtId="0" fontId="0" fillId="3" borderId="0" xfId="0" applyFont="1" applyFill="1" applyBorder="1" applyAlignment="1">
      <alignment horizontal="center" vertical="top"/>
    </xf>
    <xf numFmtId="0" fontId="1" fillId="3" borderId="0" xfId="0" applyFont="1" applyFill="1" applyBorder="1" applyAlignment="1">
      <alignment horizontal="center" vertical="top"/>
    </xf>
    <xf numFmtId="0" fontId="0" fillId="3" borderId="0" xfId="0" applyFill="1" applyBorder="1"/>
    <xf numFmtId="0" fontId="0" fillId="0" borderId="6" xfId="0" applyBorder="1"/>
    <xf numFmtId="14" fontId="0" fillId="0" borderId="0" xfId="0" applyNumberFormat="1" applyBorder="1"/>
    <xf numFmtId="14" fontId="0" fillId="0" borderId="7" xfId="0" applyNumberFormat="1" applyBorder="1"/>
    <xf numFmtId="0" fontId="0" fillId="0" borderId="8" xfId="0" applyBorder="1"/>
    <xf numFmtId="14" fontId="0" fillId="0" borderId="9" xfId="0" applyNumberFormat="1" applyBorder="1"/>
    <xf numFmtId="14" fontId="0" fillId="0" borderId="10" xfId="0" applyNumberFormat="1" applyBorder="1"/>
    <xf numFmtId="0" fontId="0" fillId="0" borderId="7" xfId="0" applyBorder="1"/>
    <xf numFmtId="0" fontId="0" fillId="0" borderId="10" xfId="0" applyBorder="1"/>
    <xf numFmtId="1" fontId="0" fillId="0" borderId="6" xfId="0" applyNumberFormat="1" applyBorder="1"/>
    <xf numFmtId="1" fontId="0" fillId="0" borderId="8" xfId="0" applyNumberFormat="1" applyBorder="1"/>
    <xf numFmtId="14" fontId="0" fillId="0" borderId="6" xfId="0" applyNumberFormat="1" applyBorder="1"/>
    <xf numFmtId="14" fontId="0" fillId="0" borderId="8" xfId="0" applyNumberFormat="1" applyBorder="1"/>
    <xf numFmtId="0" fontId="0" fillId="0" borderId="2" xfId="0" applyBorder="1"/>
    <xf numFmtId="0" fontId="0" fillId="0" borderId="22" xfId="0" applyBorder="1"/>
    <xf numFmtId="14" fontId="0" fillId="0" borderId="2" xfId="0" applyNumberFormat="1" applyBorder="1"/>
    <xf numFmtId="1" fontId="0" fillId="0" borderId="2" xfId="0" applyNumberFormat="1" applyBorder="1"/>
    <xf numFmtId="0" fontId="0" fillId="0" borderId="0" xfId="0" applyBorder="1" applyAlignment="1"/>
    <xf numFmtId="0" fontId="0" fillId="7" borderId="0" xfId="0" applyFill="1"/>
    <xf numFmtId="0" fontId="0" fillId="0" borderId="2" xfId="0" pivotButton="1" applyBorder="1"/>
    <xf numFmtId="0" fontId="0" fillId="0" borderId="2" xfId="0" applyNumberFormat="1" applyBorder="1"/>
    <xf numFmtId="0" fontId="1" fillId="8" borderId="2" xfId="0" applyFont="1" applyFill="1" applyBorder="1"/>
    <xf numFmtId="0" fontId="1" fillId="8" borderId="2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top"/>
    </xf>
    <xf numFmtId="0" fontId="4" fillId="8" borderId="2" xfId="0" applyFont="1" applyFill="1" applyBorder="1"/>
    <xf numFmtId="0" fontId="1" fillId="8" borderId="15" xfId="0" applyFont="1" applyFill="1" applyBorder="1" applyAlignment="1">
      <alignment horizontal="center" vertical="top"/>
    </xf>
    <xf numFmtId="0" fontId="1" fillId="8" borderId="16" xfId="0" applyFont="1" applyFill="1" applyBorder="1" applyAlignment="1">
      <alignment horizontal="center" vertical="top"/>
    </xf>
    <xf numFmtId="0" fontId="1" fillId="8" borderId="17" xfId="0" applyFont="1" applyFill="1" applyBorder="1" applyAlignment="1">
      <alignment horizontal="center" vertical="top"/>
    </xf>
    <xf numFmtId="0" fontId="1" fillId="8" borderId="18" xfId="0" applyFont="1" applyFill="1" applyBorder="1" applyAlignment="1">
      <alignment horizontal="center" vertical="top"/>
    </xf>
    <xf numFmtId="0" fontId="1" fillId="8" borderId="19" xfId="0" applyFont="1" applyFill="1" applyBorder="1" applyAlignment="1">
      <alignment horizontal="center" vertical="top"/>
    </xf>
    <xf numFmtId="0" fontId="1" fillId="8" borderId="11" xfId="0" applyFont="1" applyFill="1" applyBorder="1"/>
    <xf numFmtId="0" fontId="1" fillId="8" borderId="12" xfId="0" applyFont="1" applyFill="1" applyBorder="1"/>
    <xf numFmtId="0" fontId="1" fillId="8" borderId="13" xfId="0" applyFont="1" applyFill="1" applyBorder="1"/>
    <xf numFmtId="0" fontId="1" fillId="8" borderId="20" xfId="0" applyFont="1" applyFill="1" applyBorder="1" applyAlignment="1">
      <alignment horizontal="center" vertical="top"/>
    </xf>
    <xf numFmtId="0" fontId="1" fillId="8" borderId="23" xfId="0" applyFont="1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4" fontId="0" fillId="7" borderId="0" xfId="0" applyNumberFormat="1" applyFill="1" applyAlignment="1">
      <alignment horizontal="center"/>
    </xf>
    <xf numFmtId="0" fontId="0" fillId="0" borderId="0" xfId="0" applyFill="1"/>
    <xf numFmtId="14" fontId="0" fillId="7" borderId="0" xfId="0" applyNumberFormat="1" applyFill="1"/>
    <xf numFmtId="0" fontId="9" fillId="9" borderId="0" xfId="0" applyFont="1" applyFill="1" applyAlignment="1">
      <alignment horizontal="center"/>
    </xf>
    <xf numFmtId="0" fontId="9" fillId="11" borderId="0" xfId="0" applyFont="1" applyFill="1" applyAlignment="1">
      <alignment horizontal="center" wrapText="1"/>
    </xf>
    <xf numFmtId="0" fontId="9" fillId="9" borderId="0" xfId="0" applyFont="1" applyFill="1" applyAlignment="1">
      <alignment horizontal="center"/>
    </xf>
    <xf numFmtId="4" fontId="9" fillId="11" borderId="0" xfId="0" applyNumberFormat="1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0" fontId="9" fillId="8" borderId="0" xfId="0" applyFont="1" applyFill="1" applyAlignment="1">
      <alignment horizontal="center" vertical="center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eetMetadata" Target="metadata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[Sales_Dashboard_Project.xlsx]Dashboard!Product</c:name>
    <c:fmtId val="0"/>
  </c:pivotSource>
  <c:chart>
    <c:autoTitleDeleted val="1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3008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71382683280884"/>
              <c:y val="5.94255500052544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2AA0A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9373C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E3008C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2AA0A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9373C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Dashboard!$C$13</c:f>
              <c:strCache>
                <c:ptCount val="1"/>
                <c:pt idx="0">
                  <c:v>Sum of Units Sold</c:v>
                </c:pt>
              </c:strCache>
            </c:strRef>
          </c:tx>
          <c:dPt>
            <c:idx val="0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F9-43E7-85E1-D7C261615833}"/>
              </c:ext>
            </c:extLst>
          </c:dPt>
          <c:dPt>
            <c:idx val="1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48-4EF8-824F-D7B0CE9C1F9C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348-4EF8-824F-D7B0CE9C1F9C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348-4EF8-824F-D7B0CE9C1F9C}"/>
              </c:ext>
            </c:extLst>
          </c:dPt>
          <c:dLbls>
            <c:dLbl>
              <c:idx val="0"/>
              <c:layout>
                <c:manualLayout>
                  <c:x val="-0.1071382683280884"/>
                  <c:y val="5.942555000525442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EF9-43E7-85E1-D7C2616158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Dashboard!$B$14:$B$18</c:f>
              <c:strCache>
                <c:ptCount val="4"/>
                <c:pt idx="0">
                  <c:v>Accessories</c:v>
                </c:pt>
                <c:pt idx="1">
                  <c:v>Tablet</c:v>
                </c:pt>
                <c:pt idx="2">
                  <c:v>Mobile</c:v>
                </c:pt>
                <c:pt idx="3">
                  <c:v>Laptop</c:v>
                </c:pt>
              </c:strCache>
            </c:strRef>
          </c:cat>
          <c:val>
            <c:numRef>
              <c:f>Dashboard!$C$14:$C$18</c:f>
              <c:numCache>
                <c:formatCode>0</c:formatCode>
                <c:ptCount val="4"/>
                <c:pt idx="0">
                  <c:v>1508</c:v>
                </c:pt>
                <c:pt idx="1">
                  <c:v>1161</c:v>
                </c:pt>
                <c:pt idx="2">
                  <c:v>1225</c:v>
                </c:pt>
                <c:pt idx="3">
                  <c:v>1163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9-43E7-85E1-D7C261615833}"/>
            </c:ext>
          </c:extLst>
        </c:ser>
        <c:ser>
          <c:idx val="1"/>
          <c:order val="1"/>
          <c:tx>
            <c:strRef>
              <c:f>Dashboard!$D$13</c:f>
              <c:strCache>
                <c:ptCount val="1"/>
                <c:pt idx="0">
                  <c:v>Sum of Total Sales</c:v>
                </c:pt>
              </c:strCache>
            </c:strRef>
          </c:tx>
          <c:dPt>
            <c:idx val="0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348-4EF8-824F-D7B0CE9C1F9C}"/>
              </c:ext>
            </c:extLst>
          </c:dPt>
          <c:dPt>
            <c:idx val="1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348-4EF8-824F-D7B0CE9C1F9C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348-4EF8-824F-D7B0CE9C1F9C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348-4EF8-824F-D7B0CE9C1F9C}"/>
              </c:ext>
            </c:extLst>
          </c:dPt>
          <c:cat>
            <c:strRef>
              <c:f>Dashboard!$B$14:$B$18</c:f>
              <c:strCache>
                <c:ptCount val="4"/>
                <c:pt idx="0">
                  <c:v>Accessories</c:v>
                </c:pt>
                <c:pt idx="1">
                  <c:v>Tablet</c:v>
                </c:pt>
                <c:pt idx="2">
                  <c:v>Mobile</c:v>
                </c:pt>
                <c:pt idx="3">
                  <c:v>Laptop</c:v>
                </c:pt>
              </c:strCache>
            </c:strRef>
          </c:cat>
          <c:val>
            <c:numRef>
              <c:f>Dashboard!$D$14:$D$18</c:f>
              <c:numCache>
                <c:formatCode>0</c:formatCode>
                <c:ptCount val="4"/>
                <c:pt idx="0">
                  <c:v>39832090</c:v>
                </c:pt>
                <c:pt idx="1">
                  <c:v>25853147</c:v>
                </c:pt>
                <c:pt idx="2">
                  <c:v>24246811</c:v>
                </c:pt>
                <c:pt idx="3">
                  <c:v>19415838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F9-43E7-85E1-D7C261615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CE6F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[Sales_Dashboard_Project.xlsx]Dashboard!date</c:name>
    <c:fmtId val="0"/>
  </c:pivotSource>
  <c:chart>
    <c:autoTitleDeleted val="1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3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Dashboard!$L$13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Dashboard!$K$14:$K$18</c:f>
              <c:strCache>
                <c:ptCount val="5"/>
                <c:pt idx="0">
                  <c:v>9/1/2025</c:v>
                </c:pt>
                <c:pt idx="1">
                  <c:v>2/15/2025</c:v>
                </c:pt>
                <c:pt idx="2">
                  <c:v>5/3/2025</c:v>
                </c:pt>
                <c:pt idx="3">
                  <c:v>3/26/2025</c:v>
                </c:pt>
                <c:pt idx="4">
                  <c:v>2/13/2025</c:v>
                </c:pt>
              </c:strCache>
            </c:strRef>
          </c:cat>
          <c:val>
            <c:numRef>
              <c:f>Dashboard!$L$14:$L$18</c:f>
              <c:numCache>
                <c:formatCode>0</c:formatCode>
                <c:ptCount val="5"/>
                <c:pt idx="0">
                  <c:v>3094958</c:v>
                </c:pt>
                <c:pt idx="1">
                  <c:v>3065000</c:v>
                </c:pt>
                <c:pt idx="2">
                  <c:v>3045400</c:v>
                </c:pt>
                <c:pt idx="3">
                  <c:v>2849549</c:v>
                </c:pt>
                <c:pt idx="4">
                  <c:v>2825000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1C-4B2C-A366-2999157B0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6700167"/>
        <c:axId val="756715015"/>
      </c:lineChart>
      <c:catAx>
        <c:axId val="756700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715015"/>
        <c:crosses val="autoZero"/>
        <c:auto val="1"/>
        <c:lblAlgn val="ctr"/>
        <c:lblOffset val="100"/>
        <c:noMultiLvlLbl val="0"/>
      </c:catAx>
      <c:valAx>
        <c:axId val="756715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700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CE6F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[Sales_Dashboard_Project.xlsx]Dashboard!Salesperson</c:name>
    <c:fmtId val="4"/>
  </c:pivotSource>
  <c:chart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Dashboard!$G$13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Dashboard!$F$14:$F$19</c:f>
              <c:strCache>
                <c:ptCount val="6"/>
                <c:pt idx="0">
                  <c:v>Sonia</c:v>
                </c:pt>
                <c:pt idx="1">
                  <c:v>Tina</c:v>
                </c:pt>
                <c:pt idx="2">
                  <c:v>Riya</c:v>
                </c:pt>
                <c:pt idx="3">
                  <c:v>Amit</c:v>
                </c:pt>
                <c:pt idx="4">
                  <c:v>Karan</c:v>
                </c:pt>
                <c:pt idx="5">
                  <c:v>Priya</c:v>
                </c:pt>
              </c:strCache>
            </c:strRef>
          </c:cat>
          <c:val>
            <c:numRef>
              <c:f>Dashboard!$G$14:$G$19</c:f>
              <c:numCache>
                <c:formatCode>0</c:formatCode>
                <c:ptCount val="6"/>
                <c:pt idx="0">
                  <c:v>916</c:v>
                </c:pt>
                <c:pt idx="1">
                  <c:v>834</c:v>
                </c:pt>
                <c:pt idx="2">
                  <c:v>544</c:v>
                </c:pt>
                <c:pt idx="3">
                  <c:v>526</c:v>
                </c:pt>
                <c:pt idx="4">
                  <c:v>495</c:v>
                </c:pt>
                <c:pt idx="5">
                  <c:v>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7-4611-88B0-033314562C95}"/>
            </c:ext>
          </c:extLst>
        </c:ser>
        <c:ser>
          <c:idx val="1"/>
          <c:order val="1"/>
          <c:tx>
            <c:strRef>
              <c:f>Dashboard!$H$13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Dashboard!$F$14:$F$19</c:f>
              <c:strCache>
                <c:ptCount val="6"/>
                <c:pt idx="0">
                  <c:v>Sonia</c:v>
                </c:pt>
                <c:pt idx="1">
                  <c:v>Tina</c:v>
                </c:pt>
                <c:pt idx="2">
                  <c:v>Riya</c:v>
                </c:pt>
                <c:pt idx="3">
                  <c:v>Amit</c:v>
                </c:pt>
                <c:pt idx="4">
                  <c:v>Karan</c:v>
                </c:pt>
                <c:pt idx="5">
                  <c:v>Priya</c:v>
                </c:pt>
              </c:strCache>
            </c:strRef>
          </c:cat>
          <c:val>
            <c:numRef>
              <c:f>Dashboard!$H$14:$H$19</c:f>
              <c:numCache>
                <c:formatCode>0</c:formatCode>
                <c:ptCount val="6"/>
                <c:pt idx="0">
                  <c:v>22821350</c:v>
                </c:pt>
                <c:pt idx="1">
                  <c:v>18153649</c:v>
                </c:pt>
                <c:pt idx="2">
                  <c:v>15433301</c:v>
                </c:pt>
                <c:pt idx="3">
                  <c:v>11186200</c:v>
                </c:pt>
                <c:pt idx="4">
                  <c:v>9969546</c:v>
                </c:pt>
                <c:pt idx="5">
                  <c:v>11544600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67-4611-88B0-033314562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6987528"/>
        <c:axId val="1746993672"/>
      </c:barChart>
      <c:catAx>
        <c:axId val="1746987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993672"/>
        <c:crosses val="autoZero"/>
        <c:auto val="1"/>
        <c:lblAlgn val="ctr"/>
        <c:lblOffset val="100"/>
        <c:noMultiLvlLbl val="0"/>
      </c:catAx>
      <c:valAx>
        <c:axId val="1746993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987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CE6F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819150</xdr:colOff>
      <xdr:row>4</xdr:row>
      <xdr:rowOff>104775</xdr:rowOff>
    </xdr:from>
    <xdr:to>
      <xdr:col>9</xdr:col>
      <xdr:colOff>619125</xdr:colOff>
      <xdr:row>7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D4E56743-3339-7800-1ED3-4F61EEECCC08}"/>
                </a:ext>
                <a:ext uri="{147F2762-F138-4A5C-976F-8EAC2B608ADB}">
                  <a16:predDERef xmlns:a16="http://schemas.microsoft.com/office/drawing/2014/main" pred="{BC4F692A-45A4-74F8-441C-2F73713B97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90825" y="828675"/>
              <a:ext cx="584835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19050</xdr:colOff>
      <xdr:row>13</xdr:row>
      <xdr:rowOff>19050</xdr:rowOff>
    </xdr:from>
    <xdr:to>
      <xdr:col>8</xdr:col>
      <xdr:colOff>1104900</xdr:colOff>
      <xdr:row>19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roduct">
              <a:extLst>
                <a:ext uri="{FF2B5EF4-FFF2-40B4-BE49-F238E27FC236}">
                  <a16:creationId xmlns:a16="http://schemas.microsoft.com/office/drawing/2014/main" id="{1674F69F-8EF5-17C9-73BC-1698BABCF0AE}"/>
                </a:ext>
                <a:ext uri="{147F2762-F138-4A5C-976F-8EAC2B608ADB}">
                  <a16:predDERef xmlns:a16="http://schemas.microsoft.com/office/drawing/2014/main" pred="{D4E56743-3339-7800-1ED3-4F61EEECCC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00925" y="2495550"/>
              <a:ext cx="1085850" cy="1123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590550</xdr:colOff>
      <xdr:row>19</xdr:row>
      <xdr:rowOff>38100</xdr:rowOff>
    </xdr:from>
    <xdr:to>
      <xdr:col>3</xdr:col>
      <xdr:colOff>1095375</xdr:colOff>
      <xdr:row>33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F9BB448-29B3-0277-24A9-133492A3089C}"/>
            </a:ext>
            <a:ext uri="{147F2762-F138-4A5C-976F-8EAC2B608ADB}">
              <a16:predDERef xmlns:a16="http://schemas.microsoft.com/office/drawing/2014/main" pred="{1674F69F-8EF5-17C9-73BC-1698BABCF0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485775</xdr:colOff>
      <xdr:row>19</xdr:row>
      <xdr:rowOff>9525</xdr:rowOff>
    </xdr:from>
    <xdr:to>
      <xdr:col>15</xdr:col>
      <xdr:colOff>828675</xdr:colOff>
      <xdr:row>33</xdr:row>
      <xdr:rowOff>142875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F3C91AE-8EE4-3186-27BE-1E36E753704D}"/>
            </a:ext>
            <a:ext uri="{147F2762-F138-4A5C-976F-8EAC2B608ADB}">
              <a16:predDERef xmlns:a16="http://schemas.microsoft.com/office/drawing/2014/main" pred="{0F9BB448-29B3-0277-24A9-133492A30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19</xdr:row>
      <xdr:rowOff>28575</xdr:rowOff>
    </xdr:from>
    <xdr:to>
      <xdr:col>8</xdr:col>
      <xdr:colOff>1133475</xdr:colOff>
      <xdr:row>33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AC84686-3657-7EF1-1A84-B0B5476559D1}"/>
            </a:ext>
            <a:ext uri="{147F2762-F138-4A5C-976F-8EAC2B608ADB}">
              <a16:predDERef xmlns:a16="http://schemas.microsoft.com/office/drawing/2014/main" pred="{3F3C91AE-8EE4-3186-27BE-1E36E7537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428625</xdr:colOff>
      <xdr:row>1</xdr:row>
      <xdr:rowOff>161925</xdr:rowOff>
    </xdr:from>
    <xdr:to>
      <xdr:col>15</xdr:col>
      <xdr:colOff>1047750</xdr:colOff>
      <xdr:row>16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E466C5-9D21-AE33-2F52-420452B821A2}"/>
            </a:ext>
            <a:ext uri="{147F2762-F138-4A5C-976F-8EAC2B608ADB}">
              <a16:predDERef xmlns:a16="http://schemas.microsoft.com/office/drawing/2014/main" pred="{6AC84686-3657-7EF1-1A84-B0B5476559D1}"/>
            </a:ext>
          </a:extLst>
        </xdr:cNvPr>
        <xdr:cNvSpPr/>
      </xdr:nvSpPr>
      <xdr:spPr>
        <a:xfrm>
          <a:off x="12458700" y="352425"/>
          <a:ext cx="1895475" cy="2847975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>
              <a:solidFill>
                <a:schemeClr val="tx1"/>
              </a:solidFill>
              <a:latin typeface="Bookman Old Style" panose="02050604050505020204" pitchFamily="18" charset="0"/>
            </a:rPr>
            <a:t>Thank you for reviewing the Sales Dashboard — every data point tells a story!</a:t>
          </a:r>
          <a:endParaRPr lang="en-US" sz="1200" b="0" i="0" u="none" strike="noStrike">
            <a:solidFill>
              <a:schemeClr val="tx1"/>
            </a:solidFill>
            <a:latin typeface="Bookman Old Style" panose="02050604050505020204" pitchFamily="18" charset="0"/>
          </a:endParaRPr>
        </a:p>
        <a:p>
          <a:pPr marL="0" indent="0" algn="l"/>
          <a:endParaRPr lang="en-US" sz="1200" b="0" i="0" u="none" strike="noStrike">
            <a:solidFill>
              <a:schemeClr val="tx1"/>
            </a:solidFill>
            <a:latin typeface="Bookman Old Style" panose="02050604050505020204" pitchFamily="18" charset="0"/>
          </a:endParaRPr>
        </a:p>
        <a:p>
          <a:pPr marL="0" indent="0" algn="l"/>
          <a:r>
            <a:rPr lang="en-US" sz="1200" b="0" i="0" u="none" strike="noStrike">
              <a:solidFill>
                <a:schemeClr val="tx1"/>
              </a:solidFill>
              <a:latin typeface="Bookman Old Style" panose="02050604050505020204" pitchFamily="18" charset="0"/>
            </a:rPr>
            <a:t>End of Report — Accuracy. Insight. Action.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2.724917824075" createdVersion="8" refreshedVersion="8" minRefreshableVersion="3" recordCount="200" xr:uid="{5AB155A3-2981-4BED-A784-D626F0877C41}">
  <cacheSource type="worksheet">
    <worksheetSource ref="A3:H203" sheet="Missing Values"/>
  </cacheSource>
  <cacheFields count="8">
    <cacheField name="Date" numFmtId="14">
      <sharedItems containsSemiMixedTypes="0" containsNonDate="0" containsDate="1" containsString="0" minDate="2025-01-01T00:00:00" maxDate="2025-12-06T00:00:00"/>
    </cacheField>
    <cacheField name="Order ID" numFmtId="0">
      <sharedItems/>
    </cacheField>
    <cacheField name="Product" numFmtId="0">
      <sharedItems/>
    </cacheField>
    <cacheField name="Region" numFmtId="0">
      <sharedItems count="5">
        <s v="South"/>
        <s v="North"/>
        <s v="East"/>
        <s v="West"/>
        <s v=""/>
      </sharedItems>
    </cacheField>
    <cacheField name="Sales Rep" numFmtId="0">
      <sharedItems count="11">
        <s v="Rohit"/>
        <s v="Amit"/>
        <s v="Sonia"/>
        <s v="Neha"/>
        <s v="Riya"/>
        <s v="Karan"/>
        <s v=""/>
        <s v="Tina"/>
        <s v="Manish"/>
        <s v="Priya"/>
        <s v="Vivek"/>
      </sharedItems>
    </cacheField>
    <cacheField name="Units Sold" numFmtId="1">
      <sharedItems containsSemiMixedTypes="0" containsString="0" containsNumber="1" containsInteger="1" minValue="1" maxValue="50"/>
    </cacheField>
    <cacheField name="Unit Price" numFmtId="1">
      <sharedItems containsSemiMixedTypes="0" containsString="0" containsNumber="1" containsInteger="1" minValue="800" maxValue="50000"/>
    </cacheField>
    <cacheField name="Total Sales" numFmtId="1">
      <sharedItems containsSemiMixedTypes="0" containsString="0" containsNumber="1" containsInteger="1" minValue="800" maxValue="2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2.852757060187" createdVersion="8" refreshedVersion="8" minRefreshableVersion="3" recordCount="200" xr:uid="{226BF655-822C-42EF-85BD-9480C3AA1F50}">
  <cacheSource type="worksheet">
    <worksheetSource ref="A3:H203" sheet="Corrected Table"/>
  </cacheSource>
  <cacheFields count="8">
    <cacheField name="Date" numFmtId="14">
      <sharedItems containsSemiMixedTypes="0" containsNonDate="0" containsDate="1" containsString="0" minDate="2025-01-01T00:00:00" maxDate="2025-12-06T00:00:00" count="128">
        <d v="2025-04-28T00:00:00"/>
        <d v="2025-04-08T00:00:00"/>
        <d v="2025-03-02T00:00:00"/>
        <d v="2025-02-05T00:00:00"/>
        <d v="2025-02-18T00:00:00"/>
        <d v="2025-02-20T00:00:00"/>
        <d v="2025-06-06T00:00:00"/>
        <d v="2025-04-04T00:00:00"/>
        <d v="2025-01-04T00:00:00"/>
        <d v="2025-07-06T00:00:00"/>
        <d v="2025-03-15T00:00:00"/>
        <d v="2025-04-25T00:00:00"/>
        <d v="2025-03-26T00:00:00"/>
        <d v="2025-05-31T00:00:00"/>
        <d v="2025-04-24T00:00:00"/>
        <d v="2025-08-01T00:00:00"/>
        <d v="2025-03-21T00:00:00"/>
        <d v="2025-03-13T00:00:00"/>
        <d v="2025-05-24T00:00:00"/>
        <d v="2025-06-09T00:00:00"/>
        <d v="2025-06-16T00:00:00"/>
        <d v="2025-06-19T00:00:00"/>
        <d v="2025-02-09T00:00:00"/>
        <d v="2025-01-19T00:00:00"/>
        <d v="2025-03-10T00:00:00"/>
        <d v="2025-06-12T00:00:00"/>
        <d v="2025-01-26T00:00:00"/>
        <d v="2025-06-29T00:00:00"/>
        <d v="2025-06-26T00:00:00"/>
        <d v="2025-05-26T00:00:00"/>
        <d v="2025-05-12T00:00:00"/>
        <d v="2025-06-17T00:00:00"/>
        <d v="2025-06-02T00:00:00"/>
        <d v="2025-04-21T00:00:00"/>
        <d v="2025-01-23T00:00:00"/>
        <d v="2025-05-03T00:00:00"/>
        <d v="2025-06-28T00:00:00"/>
        <d v="2025-06-22T00:00:00"/>
        <d v="2025-12-05T00:00:00"/>
        <d v="2025-04-13T00:00:00"/>
        <d v="2025-05-17T00:00:00"/>
        <d v="2025-02-24T00:00:00"/>
        <d v="2025-03-11T00:00:00"/>
        <d v="2025-06-24T00:00:00"/>
        <d v="2025-02-17T00:00:00"/>
        <d v="2025-01-20T00:00:00"/>
        <d v="2025-06-04T00:00:00"/>
        <d v="2025-03-16T00:00:00"/>
        <d v="2025-02-15T00:00:00"/>
        <d v="2025-06-07T00:00:00"/>
        <d v="2025-01-29T00:00:00"/>
        <d v="2025-06-11T00:00:00"/>
        <d v="2025-05-27T00:00:00"/>
        <d v="2025-03-18T00:00:00"/>
        <d v="2025-02-23T00:00:00"/>
        <d v="2025-04-22T00:00:00"/>
        <d v="2025-08-06T00:00:00"/>
        <d v="2025-01-01T00:00:00"/>
        <d v="2025-05-04T00:00:00"/>
        <d v="2025-05-09T00:00:00"/>
        <d v="2025-01-07T00:00:00"/>
        <d v="2025-06-18T00:00:00"/>
        <d v="2025-01-15T00:00:00"/>
        <d v="2025-02-04T00:00:00"/>
        <d v="2025-04-18T00:00:00"/>
        <d v="2025-01-27T00:00:00"/>
        <d v="2025-05-06T00:00:00"/>
        <d v="2025-02-13T00:00:00"/>
        <d v="2025-05-11T00:00:00"/>
        <d v="2025-01-10T00:00:00"/>
        <d v="2025-09-01T00:00:00"/>
        <d v="2025-01-13T00:00:00"/>
        <d v="2025-01-02T00:00:00"/>
        <d v="2025-10-06T00:00:00"/>
        <d v="2025-01-05T00:00:00"/>
        <d v="2025-06-27T00:00:00"/>
        <d v="2025-03-07T00:00:00"/>
        <d v="2025-08-03T00:00:00"/>
        <d v="2025-06-25T00:00:00"/>
        <d v="2025-06-08T00:00:00"/>
        <d v="2025-03-17T00:00:00"/>
        <d v="2025-12-03T00:00:00"/>
        <d v="2025-04-12T00:00:00"/>
        <d v="2025-03-28T00:00:00"/>
        <d v="2025-02-22T00:00:00"/>
        <d v="2025-04-09T00:00:00"/>
        <d v="2025-06-21T00:00:00"/>
        <d v="2025-03-27T00:00:00"/>
        <d v="2025-11-02T00:00:00"/>
        <d v="2025-01-17T00:00:00"/>
        <d v="2025-04-14T00:00:00"/>
        <d v="2025-02-03T00:00:00"/>
        <d v="2025-04-26T00:00:00"/>
        <d v="2025-01-11T00:00:00"/>
        <d v="2025-03-24T00:00:00"/>
        <d v="2025-01-30T00:00:00"/>
        <d v="2025-01-03T00:00:00"/>
        <d v="2025-03-09T00:00:00"/>
        <d v="2025-05-19T00:00:00"/>
        <d v="2025-02-16T00:00:00"/>
        <d v="2025-04-17T00:00:00"/>
        <d v="2025-05-30T00:00:00"/>
        <d v="2025-02-06T00:00:00"/>
        <d v="2025-04-19T00:00:00"/>
        <d v="2025-03-30T00:00:00"/>
        <d v="2025-04-02T00:00:00"/>
        <d v="2025-02-12T00:00:00"/>
        <d v="2025-01-25T00:00:00"/>
        <d v="2025-03-01T00:00:00"/>
        <d v="2025-02-26T00:00:00"/>
        <d v="2025-06-13T00:00:00"/>
        <d v="2025-10-05T00:00:00"/>
        <d v="2025-03-31T00:00:00"/>
        <d v="2025-01-21T00:00:00"/>
        <d v="2025-02-27T00:00:00"/>
        <d v="2025-06-30T00:00:00"/>
        <d v="2025-04-20T00:00:00"/>
        <d v="2025-03-08T00:00:00"/>
        <d v="2025-04-01T00:00:00"/>
        <d v="2025-03-25T00:00:00"/>
        <d v="2025-04-07T00:00:00"/>
        <d v="2025-11-06T00:00:00"/>
        <d v="2025-06-14T00:00:00"/>
        <d v="2025-08-04T00:00:00"/>
        <d v="2025-04-27T00:00:00"/>
        <d v="2025-01-14T00:00:00"/>
        <d v="2025-05-14T00:00:00"/>
        <d v="2025-11-01T00:00:00"/>
      </sharedItems>
    </cacheField>
    <cacheField name="Order ID" numFmtId="0">
      <sharedItems/>
    </cacheField>
    <cacheField name="Product" numFmtId="0">
      <sharedItems count="4">
        <s v="Laptop"/>
        <s v="Accessories"/>
        <s v="Tablet"/>
        <s v="Mobile"/>
      </sharedItems>
    </cacheField>
    <cacheField name="Region" numFmtId="0">
      <sharedItems count="4">
        <s v="South"/>
        <s v="North"/>
        <s v="East"/>
        <s v="West"/>
      </sharedItems>
    </cacheField>
    <cacheField name="Sales-Person" numFmtId="0">
      <sharedItems count="10">
        <s v="Rohit"/>
        <s v="Amit"/>
        <s v="Sonia"/>
        <s v="Neha"/>
        <s v="Riya"/>
        <s v="Karan"/>
        <s v="Tina"/>
        <s v="Manish"/>
        <s v="Priya"/>
        <s v="Vivek"/>
      </sharedItems>
    </cacheField>
    <cacheField name="Units Sold" numFmtId="1">
      <sharedItems containsSemiMixedTypes="0" containsString="0" containsNumber="1" containsInteger="1" minValue="1" maxValue="50" count="49">
        <n v="27"/>
        <n v="30"/>
        <n v="23"/>
        <n v="6"/>
        <n v="45"/>
        <n v="16"/>
        <n v="50"/>
        <n v="37"/>
        <n v="40"/>
        <n v="41"/>
        <n v="32"/>
        <n v="12"/>
        <n v="26"/>
        <n v="31"/>
        <n v="24"/>
        <n v="7"/>
        <n v="35"/>
        <n v="18"/>
        <n v="20"/>
        <n v="4"/>
        <n v="13"/>
        <n v="21"/>
        <n v="49"/>
        <n v="10"/>
        <n v="43"/>
        <n v="36"/>
        <n v="17"/>
        <n v="3"/>
        <n v="29"/>
        <n v="19"/>
        <n v="47"/>
        <n v="42"/>
        <n v="14"/>
        <n v="48"/>
        <n v="44"/>
        <n v="15"/>
        <n v="8"/>
        <n v="5"/>
        <n v="2"/>
        <n v="34"/>
        <n v="33"/>
        <n v="25"/>
        <n v="1"/>
        <n v="9"/>
        <n v="11"/>
        <n v="46"/>
        <n v="38"/>
        <n v="28"/>
        <n v="22"/>
      </sharedItems>
    </cacheField>
    <cacheField name="Unit Price" numFmtId="1">
      <sharedItems containsSemiMixedTypes="0" containsString="0" containsNumber="1" containsInteger="1" minValue="800" maxValue="50000"/>
    </cacheField>
    <cacheField name="Total Sales" numFmtId="1">
      <sharedItems containsSemiMixedTypes="0" containsString="0" containsNumber="1" containsInteger="1" minValue="800" maxValue="2500000"/>
    </cacheField>
  </cacheFields>
  <extLst>
    <ext xmlns:x14="http://schemas.microsoft.com/office/spreadsheetml/2009/9/main" uri="{725AE2AE-9491-48be-B2B4-4EB974FC3084}">
      <x14:pivotCacheDefinition pivotCacheId="11252278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5-04-28T00:00:00"/>
    <s v="ORD001"/>
    <s v="Laptop"/>
    <x v="0"/>
    <x v="0"/>
    <n v="27"/>
    <n v="1200"/>
    <n v="32400"/>
  </r>
  <r>
    <d v="2025-04-08T00:00:00"/>
    <s v="ORD002"/>
    <s v="Accessories"/>
    <x v="0"/>
    <x v="1"/>
    <n v="30"/>
    <n v="25000"/>
    <n v="750000"/>
  </r>
  <r>
    <d v="2025-03-02T00:00:00"/>
    <s v="ORD003"/>
    <s v="Tablet"/>
    <x v="0"/>
    <x v="2"/>
    <n v="23"/>
    <n v="25000"/>
    <n v="575000"/>
  </r>
  <r>
    <d v="2025-02-05T00:00:00"/>
    <s v="ORD004"/>
    <s v="Mobile"/>
    <x v="1"/>
    <x v="3"/>
    <n v="6"/>
    <n v="800"/>
    <n v="4800"/>
  </r>
  <r>
    <d v="2025-02-18T00:00:00"/>
    <s v="ORD005"/>
    <s v="Mobile"/>
    <x v="2"/>
    <x v="4"/>
    <n v="45"/>
    <n v="30000"/>
    <n v="1350000"/>
  </r>
  <r>
    <d v="2025-02-20T00:00:00"/>
    <s v="ORD006"/>
    <s v="Accessories"/>
    <x v="1"/>
    <x v="5"/>
    <n v="23"/>
    <n v="1200"/>
    <n v="27600"/>
  </r>
  <r>
    <d v="2025-06-06T00:00:00"/>
    <s v="ORD007"/>
    <s v="Tablet"/>
    <x v="0"/>
    <x v="6"/>
    <n v="16"/>
    <n v="800"/>
    <n v="12800"/>
  </r>
  <r>
    <d v="2025-04-04T00:00:00"/>
    <s v="ORD008"/>
    <s v="Mobile"/>
    <x v="1"/>
    <x v="7"/>
    <n v="50"/>
    <n v="50000"/>
    <n v="2500000"/>
  </r>
  <r>
    <d v="2025-01-04T00:00:00"/>
    <s v="ORD009"/>
    <s v="Accessories"/>
    <x v="1"/>
    <x v="2"/>
    <n v="37"/>
    <n v="15000"/>
    <n v="555000"/>
  </r>
  <r>
    <d v="2025-07-06T00:00:00"/>
    <s v="ORD010"/>
    <s v="Laptop"/>
    <x v="0"/>
    <x v="3"/>
    <n v="40"/>
    <n v="800"/>
    <n v="32000"/>
  </r>
  <r>
    <d v="2025-03-15T00:00:00"/>
    <s v="ORD011"/>
    <s v="Mobile"/>
    <x v="2"/>
    <x v="8"/>
    <n v="41"/>
    <n v="800"/>
    <n v="32800"/>
  </r>
  <r>
    <d v="2025-04-25T00:00:00"/>
    <s v="ORD012"/>
    <s v="Accessories"/>
    <x v="2"/>
    <x v="8"/>
    <n v="27"/>
    <n v="50000"/>
    <n v="1350000"/>
  </r>
  <r>
    <d v="2025-03-26T00:00:00"/>
    <s v="ORD013"/>
    <s v="Accessories"/>
    <x v="3"/>
    <x v="7"/>
    <n v="32"/>
    <n v="25000"/>
    <n v="799549"/>
  </r>
  <r>
    <d v="2025-02-18T00:00:00"/>
    <s v="ORD014"/>
    <s v="Accessories"/>
    <x v="1"/>
    <x v="7"/>
    <n v="12"/>
    <n v="30000"/>
    <n v="360000"/>
  </r>
  <r>
    <d v="2025-05-31T00:00:00"/>
    <s v="ORD015"/>
    <s v="Laptop"/>
    <x v="3"/>
    <x v="3"/>
    <n v="26"/>
    <n v="25000"/>
    <n v="650000"/>
  </r>
  <r>
    <d v="2025-04-24T00:00:00"/>
    <s v="ORD016"/>
    <s v="Accessories"/>
    <x v="2"/>
    <x v="9"/>
    <n v="41"/>
    <n v="50000"/>
    <n v="2050000"/>
  </r>
  <r>
    <d v="2025-08-01T00:00:00"/>
    <s v="ORD017"/>
    <s v="Accessories"/>
    <x v="3"/>
    <x v="7"/>
    <n v="31"/>
    <n v="1200"/>
    <n v="37200"/>
  </r>
  <r>
    <d v="2025-03-21T00:00:00"/>
    <s v="ORD018"/>
    <s v="Mobile"/>
    <x v="2"/>
    <x v="0"/>
    <n v="32"/>
    <n v="1200"/>
    <n v="38400"/>
  </r>
  <r>
    <d v="2025-03-13T00:00:00"/>
    <s v="ORD019"/>
    <s v="Accessories"/>
    <x v="1"/>
    <x v="9"/>
    <n v="24"/>
    <n v="50000"/>
    <n v="1200000"/>
  </r>
  <r>
    <d v="2025-05-24T00:00:00"/>
    <s v="ORD020"/>
    <s v="Tablet"/>
    <x v="2"/>
    <x v="3"/>
    <n v="31"/>
    <n v="50000"/>
    <n v="1550000"/>
  </r>
  <r>
    <d v="2025-06-09T00:00:00"/>
    <s v="ORD021"/>
    <s v="Accessories"/>
    <x v="0"/>
    <x v="10"/>
    <n v="7"/>
    <n v="15000"/>
    <n v="105000"/>
  </r>
  <r>
    <d v="2025-06-16T00:00:00"/>
    <s v="ORD022"/>
    <s v="Accessories"/>
    <x v="2"/>
    <x v="3"/>
    <n v="35"/>
    <n v="800"/>
    <n v="28000"/>
  </r>
  <r>
    <d v="2025-06-19T00:00:00"/>
    <s v="ORD023"/>
    <s v="Tablet"/>
    <x v="3"/>
    <x v="7"/>
    <n v="18"/>
    <n v="1200"/>
    <n v="21600"/>
  </r>
  <r>
    <d v="2025-02-09T00:00:00"/>
    <s v="ORD024"/>
    <s v="Mobile"/>
    <x v="3"/>
    <x v="7"/>
    <n v="45"/>
    <n v="25000"/>
    <n v="1125000"/>
  </r>
  <r>
    <d v="2025-01-19T00:00:00"/>
    <s v="ORD025"/>
    <s v="Laptop"/>
    <x v="0"/>
    <x v="9"/>
    <n v="20"/>
    <n v="800"/>
    <n v="16000"/>
  </r>
  <r>
    <d v="2025-03-10T00:00:00"/>
    <s v="ORD026"/>
    <s v="Tablet"/>
    <x v="2"/>
    <x v="1"/>
    <n v="30"/>
    <n v="25000"/>
    <n v="750000"/>
  </r>
  <r>
    <d v="2025-06-12T00:00:00"/>
    <s v="ORD027"/>
    <s v="Laptop"/>
    <x v="0"/>
    <x v="10"/>
    <n v="4"/>
    <n v="25000"/>
    <n v="100000"/>
  </r>
  <r>
    <d v="2025-01-26T00:00:00"/>
    <s v="ORD028"/>
    <s v="Tablet"/>
    <x v="2"/>
    <x v="7"/>
    <n v="37"/>
    <n v="50000"/>
    <n v="1850000"/>
  </r>
  <r>
    <d v="2025-06-29T00:00:00"/>
    <s v="ORD029"/>
    <s v="Mobile"/>
    <x v="1"/>
    <x v="1"/>
    <n v="13"/>
    <n v="30000"/>
    <n v="390000"/>
  </r>
  <r>
    <d v="2025-06-26T00:00:00"/>
    <s v="ORD030"/>
    <s v="Mobile"/>
    <x v="1"/>
    <x v="2"/>
    <n v="23"/>
    <n v="1200"/>
    <n v="27600"/>
  </r>
  <r>
    <d v="2025-05-26T00:00:00"/>
    <s v="ORD031"/>
    <s v="Tablet"/>
    <x v="1"/>
    <x v="4"/>
    <n v="31"/>
    <n v="50000"/>
    <n v="1550000"/>
  </r>
  <r>
    <d v="2025-05-12T00:00:00"/>
    <s v="ORD032"/>
    <s v="Laptop"/>
    <x v="0"/>
    <x v="10"/>
    <n v="24"/>
    <n v="25000"/>
    <n v="600000"/>
  </r>
  <r>
    <d v="2025-06-17T00:00:00"/>
    <s v="ORD033"/>
    <s v="Accessories"/>
    <x v="0"/>
    <x v="5"/>
    <n v="32"/>
    <n v="25000"/>
    <n v="800000"/>
  </r>
  <r>
    <d v="2025-06-02T00:00:00"/>
    <s v="ORD034"/>
    <s v="Tablet"/>
    <x v="0"/>
    <x v="10"/>
    <n v="21"/>
    <n v="15000"/>
    <n v="315000"/>
  </r>
  <r>
    <d v="2025-04-21T00:00:00"/>
    <s v="ORD035"/>
    <s v="Accessories"/>
    <x v="2"/>
    <x v="5"/>
    <n v="49"/>
    <n v="1200"/>
    <n v="58800"/>
  </r>
  <r>
    <d v="2025-01-23T00:00:00"/>
    <s v="ORD036"/>
    <s v="Laptop"/>
    <x v="1"/>
    <x v="8"/>
    <n v="10"/>
    <n v="15000"/>
    <n v="150000"/>
  </r>
  <r>
    <d v="2025-05-03T00:00:00"/>
    <s v="ORD037"/>
    <s v="Accessories"/>
    <x v="1"/>
    <x v="4"/>
    <n v="43"/>
    <n v="50000"/>
    <n v="2150000"/>
  </r>
  <r>
    <d v="2025-06-28T00:00:00"/>
    <s v="ORD038"/>
    <s v="Accessories"/>
    <x v="3"/>
    <x v="7"/>
    <n v="36"/>
    <n v="1200"/>
    <n v="43200"/>
  </r>
  <r>
    <d v="2025-06-22T00:00:00"/>
    <s v="ORD039"/>
    <s v="Laptop"/>
    <x v="1"/>
    <x v="4"/>
    <n v="17"/>
    <n v="25000"/>
    <n v="425000"/>
  </r>
  <r>
    <d v="2025-12-05T00:00:00"/>
    <s v="ORD040"/>
    <s v="Mobile"/>
    <x v="3"/>
    <x v="3"/>
    <n v="16"/>
    <n v="50000"/>
    <n v="800000"/>
  </r>
  <r>
    <d v="2025-04-13T00:00:00"/>
    <s v="ORD041"/>
    <s v="Laptop"/>
    <x v="3"/>
    <x v="6"/>
    <n v="30"/>
    <n v="800"/>
    <n v="24000"/>
  </r>
  <r>
    <d v="2025-05-17T00:00:00"/>
    <s v="ORD042"/>
    <s v="Moblie"/>
    <x v="4"/>
    <x v="8"/>
    <n v="3"/>
    <n v="800"/>
    <n v="2400"/>
  </r>
  <r>
    <d v="2025-02-24T00:00:00"/>
    <s v="ORD043"/>
    <s v="Laptop"/>
    <x v="1"/>
    <x v="1"/>
    <n v="40"/>
    <n v="25000"/>
    <n v="1000000"/>
  </r>
  <r>
    <d v="2025-03-11T00:00:00"/>
    <s v="ORD044"/>
    <s v="Mobile"/>
    <x v="0"/>
    <x v="3"/>
    <n v="7"/>
    <n v="30000"/>
    <n v="210000"/>
  </r>
  <r>
    <d v="2025-06-24T00:00:00"/>
    <s v="ORD045"/>
    <s v="Mobile"/>
    <x v="2"/>
    <x v="4"/>
    <n v="13"/>
    <n v="30000"/>
    <n v="390000"/>
  </r>
  <r>
    <d v="2025-02-17T00:00:00"/>
    <s v="ORD046"/>
    <s v="Mobile"/>
    <x v="0"/>
    <x v="0"/>
    <n v="29"/>
    <n v="1200"/>
    <n v="34800"/>
  </r>
  <r>
    <d v="2025-01-20T00:00:00"/>
    <s v="ORD047"/>
    <s v="Laptop"/>
    <x v="3"/>
    <x v="4"/>
    <n v="45"/>
    <n v="30000"/>
    <n v="1350000"/>
  </r>
  <r>
    <d v="2025-06-04T00:00:00"/>
    <s v="ORD048"/>
    <s v="Laptop"/>
    <x v="0"/>
    <x v="10"/>
    <n v="45"/>
    <n v="15000"/>
    <n v="675000"/>
  </r>
  <r>
    <d v="2025-03-16T00:00:00"/>
    <s v="ORD049"/>
    <s v="Accessories"/>
    <x v="0"/>
    <x v="2"/>
    <n v="19"/>
    <n v="800"/>
    <n v="15200"/>
  </r>
  <r>
    <d v="2025-02-15T00:00:00"/>
    <s v="ORD050"/>
    <s v="Tablet"/>
    <x v="3"/>
    <x v="0"/>
    <n v="47"/>
    <n v="25000"/>
    <n v="1175000"/>
  </r>
  <r>
    <d v="2025-03-16T00:00:00"/>
    <s v="ORD051"/>
    <s v="Mobile"/>
    <x v="2"/>
    <x v="5"/>
    <n v="10"/>
    <n v="800"/>
    <n v="7346"/>
  </r>
  <r>
    <d v="2025-06-07T00:00:00"/>
    <s v="ORD052"/>
    <s v="Laptop"/>
    <x v="4"/>
    <x v="1"/>
    <n v="42"/>
    <n v="15000"/>
    <n v="630000"/>
  </r>
  <r>
    <d v="2025-04-04T00:00:00"/>
    <s v="ORD053"/>
    <s v="Mobile"/>
    <x v="3"/>
    <x v="9"/>
    <n v="19"/>
    <n v="800"/>
    <n v="15200"/>
  </r>
  <r>
    <d v="2025-01-29T00:00:00"/>
    <s v="ORD054"/>
    <s v="Accessories"/>
    <x v="4"/>
    <x v="6"/>
    <n v="49"/>
    <n v="50000"/>
    <n v="2450000"/>
  </r>
  <r>
    <d v="2025-06-11T00:00:00"/>
    <s v="ORD055"/>
    <s v="Lapotp"/>
    <x v="2"/>
    <x v="0"/>
    <n v="14"/>
    <n v="15000"/>
    <n v="210000"/>
  </r>
  <r>
    <d v="2025-05-27T00:00:00"/>
    <s v="ORD056"/>
    <s v="Mobile"/>
    <x v="3"/>
    <x v="2"/>
    <n v="10"/>
    <n v="1200"/>
    <n v="12000"/>
  </r>
  <r>
    <d v="2025-03-18T00:00:00"/>
    <s v="ORD057"/>
    <s v="Tablet"/>
    <x v="1"/>
    <x v="2"/>
    <n v="24"/>
    <n v="30000"/>
    <n v="720000"/>
  </r>
  <r>
    <d v="2025-02-23T00:00:00"/>
    <s v="ORD058"/>
    <s v="Laptop"/>
    <x v="3"/>
    <x v="2"/>
    <n v="23"/>
    <n v="25000"/>
    <n v="575000"/>
  </r>
  <r>
    <d v="2025-02-05T00:00:00"/>
    <s v="ORD059"/>
    <s v="Laptop"/>
    <x v="3"/>
    <x v="10"/>
    <n v="7"/>
    <n v="25000"/>
    <n v="175000"/>
  </r>
  <r>
    <d v="2025-04-22T00:00:00"/>
    <s v="ORD060"/>
    <s v="Tablet"/>
    <x v="4"/>
    <x v="7"/>
    <n v="48"/>
    <n v="25000"/>
    <n v="1200000"/>
  </r>
  <r>
    <d v="2025-08-06T00:00:00"/>
    <s v="ORD061"/>
    <s v="Mobile"/>
    <x v="3"/>
    <x v="2"/>
    <n v="14"/>
    <n v="1200"/>
    <n v="16800"/>
  </r>
  <r>
    <d v="2025-05-26T00:00:00"/>
    <s v="ORD062"/>
    <s v="Accessories"/>
    <x v="1"/>
    <x v="4"/>
    <n v="21"/>
    <n v="30000"/>
    <n v="630000"/>
  </r>
  <r>
    <d v="2025-01-01T00:00:00"/>
    <s v="ORD063"/>
    <s v="Laptop"/>
    <x v="1"/>
    <x v="5"/>
    <n v="31"/>
    <n v="1200"/>
    <n v="37200"/>
  </r>
  <r>
    <d v="2025-02-15T00:00:00"/>
    <s v="ORD064"/>
    <s v="Mobile"/>
    <x v="3"/>
    <x v="2"/>
    <n v="44"/>
    <n v="30000"/>
    <n v="1320000"/>
  </r>
  <r>
    <d v="2025-05-04T00:00:00"/>
    <s v="ORD065"/>
    <s v="Mobile"/>
    <x v="0"/>
    <x v="3"/>
    <n v="15"/>
    <n v="30000"/>
    <n v="450000"/>
  </r>
  <r>
    <d v="2025-05-09T00:00:00"/>
    <s v="ORD066"/>
    <s v="Tablet"/>
    <x v="0"/>
    <x v="7"/>
    <n v="8"/>
    <n v="15000"/>
    <n v="120000"/>
  </r>
  <r>
    <d v="2025-01-07T00:00:00"/>
    <s v="ORD067"/>
    <s v="Moblie"/>
    <x v="0"/>
    <x v="9"/>
    <n v="5"/>
    <n v="25000"/>
    <n v="125000"/>
  </r>
  <r>
    <d v="2025-06-18T00:00:00"/>
    <s v="ORD068"/>
    <s v="Laptop"/>
    <x v="4"/>
    <x v="3"/>
    <n v="27"/>
    <n v="15000"/>
    <n v="405000"/>
  </r>
  <r>
    <d v="2025-01-15T00:00:00"/>
    <s v="ORD069"/>
    <s v="Accessories"/>
    <x v="0"/>
    <x v="8"/>
    <n v="17"/>
    <n v="25000"/>
    <n v="425000"/>
  </r>
  <r>
    <d v="2025-02-04T00:00:00"/>
    <s v="ORD070"/>
    <s v="Mobile"/>
    <x v="0"/>
    <x v="9"/>
    <n v="8"/>
    <n v="25000"/>
    <n v="200000"/>
  </r>
  <r>
    <d v="2025-04-18T00:00:00"/>
    <s v="ORD071"/>
    <s v="Laptop"/>
    <x v="0"/>
    <x v="9"/>
    <n v="2"/>
    <n v="50000"/>
    <n v="100000"/>
  </r>
  <r>
    <d v="2025-01-27T00:00:00"/>
    <s v="ORD072"/>
    <s v="Tablet"/>
    <x v="4"/>
    <x v="2"/>
    <n v="40"/>
    <n v="1200"/>
    <n v="48000"/>
  </r>
  <r>
    <d v="2025-05-06T00:00:00"/>
    <s v="ORD073"/>
    <s v="Laptop"/>
    <x v="3"/>
    <x v="10"/>
    <n v="34"/>
    <n v="800"/>
    <n v="27200"/>
  </r>
  <r>
    <d v="2025-02-13T00:00:00"/>
    <s v="ORD074"/>
    <s v="Mobile"/>
    <x v="2"/>
    <x v="7"/>
    <n v="33"/>
    <n v="25000"/>
    <n v="825000"/>
  </r>
  <r>
    <d v="2025-05-11T00:00:00"/>
    <s v="ORD075"/>
    <s v="Accessories"/>
    <x v="1"/>
    <x v="0"/>
    <n v="34"/>
    <n v="1200"/>
    <n v="40800"/>
  </r>
  <r>
    <d v="2025-05-11T00:00:00"/>
    <s v="ORD076"/>
    <s v="Accessories"/>
    <x v="2"/>
    <x v="7"/>
    <n v="6"/>
    <n v="25000"/>
    <n v="150000"/>
  </r>
  <r>
    <d v="2025-01-10T00:00:00"/>
    <s v="ORD077"/>
    <s v="Accessories"/>
    <x v="2"/>
    <x v="5"/>
    <n v="5"/>
    <n v="15000"/>
    <n v="75000"/>
  </r>
  <r>
    <d v="2025-02-20T00:00:00"/>
    <s v="ORD078"/>
    <s v="Mobile"/>
    <x v="0"/>
    <x v="9"/>
    <n v="23"/>
    <n v="800"/>
    <n v="18400"/>
  </r>
  <r>
    <d v="2025-09-01T00:00:00"/>
    <s v="ORD079"/>
    <s v="Accessories"/>
    <x v="2"/>
    <x v="2"/>
    <n v="49"/>
    <n v="50000"/>
    <n v="2450000"/>
  </r>
  <r>
    <d v="2025-01-13T00:00:00"/>
    <s v="ORD080"/>
    <s v="Mobile"/>
    <x v="1"/>
    <x v="7"/>
    <n v="47"/>
    <n v="1200"/>
    <n v="56400"/>
  </r>
  <r>
    <d v="2025-02-20T00:00:00"/>
    <s v="ORD081"/>
    <s v="Mobile"/>
    <x v="2"/>
    <x v="1"/>
    <n v="25"/>
    <n v="15000"/>
    <n v="375000"/>
  </r>
  <r>
    <d v="2025-03-26T00:00:00"/>
    <s v="ORD082"/>
    <s v="Laptop"/>
    <x v="2"/>
    <x v="2"/>
    <n v="41"/>
    <n v="50000"/>
    <n v="2050000"/>
  </r>
  <r>
    <d v="2025-01-02T00:00:00"/>
    <s v="ORD083"/>
    <s v="Laptop"/>
    <x v="4"/>
    <x v="1"/>
    <n v="40"/>
    <n v="1200"/>
    <n v="48000"/>
  </r>
  <r>
    <d v="2025-10-06T00:00:00"/>
    <s v="ORD084"/>
    <s v="Laptop"/>
    <x v="1"/>
    <x v="5"/>
    <n v="19"/>
    <n v="1200"/>
    <n v="22800"/>
  </r>
  <r>
    <d v="2025-01-10T00:00:00"/>
    <s v="ORD085"/>
    <s v="Accessories"/>
    <x v="3"/>
    <x v="10"/>
    <n v="26"/>
    <n v="50000"/>
    <n v="1300000"/>
  </r>
  <r>
    <d v="2025-01-05T00:00:00"/>
    <s v="ORD086"/>
    <s v="Laptop"/>
    <x v="0"/>
    <x v="4"/>
    <n v="1"/>
    <n v="50000"/>
    <n v="50000"/>
  </r>
  <r>
    <d v="2025-06-19T00:00:00"/>
    <s v="ORD087"/>
    <s v="Lapotp"/>
    <x v="0"/>
    <x v="3"/>
    <n v="43"/>
    <n v="800"/>
    <n v="34400"/>
  </r>
  <r>
    <d v="2025-06-27T00:00:00"/>
    <s v="ORD088"/>
    <s v="Lapotp"/>
    <x v="0"/>
    <x v="10"/>
    <n v="6"/>
    <n v="800"/>
    <n v="4800"/>
  </r>
  <r>
    <d v="2025-03-07T00:00:00"/>
    <s v="ORD089"/>
    <s v="Accesories"/>
    <x v="2"/>
    <x v="9"/>
    <n v="9"/>
    <n v="50000"/>
    <n v="450000"/>
  </r>
  <r>
    <d v="2025-04-13T00:00:00"/>
    <s v="ORD090"/>
    <s v="Tablet"/>
    <x v="0"/>
    <x v="8"/>
    <n v="11"/>
    <n v="800"/>
    <n v="8800"/>
  </r>
  <r>
    <d v="2025-04-21T00:00:00"/>
    <s v="ORD091"/>
    <s v="Tablet"/>
    <x v="1"/>
    <x v="2"/>
    <n v="46"/>
    <n v="15000"/>
    <n v="689245"/>
  </r>
  <r>
    <d v="2025-08-03T00:00:00"/>
    <s v="ORD092"/>
    <s v="Laptop"/>
    <x v="3"/>
    <x v="5"/>
    <n v="12"/>
    <n v="30000"/>
    <n v="360000"/>
  </r>
  <r>
    <d v="2025-03-07T00:00:00"/>
    <s v="ORD093"/>
    <s v="Tablet"/>
    <x v="3"/>
    <x v="9"/>
    <n v="10"/>
    <n v="50000"/>
    <n v="500000"/>
  </r>
  <r>
    <d v="2025-06-25T00:00:00"/>
    <s v="ORD094"/>
    <s v="Accessories"/>
    <x v="1"/>
    <x v="7"/>
    <n v="42"/>
    <n v="30000"/>
    <n v="1260000"/>
  </r>
  <r>
    <d v="2025-06-08T00:00:00"/>
    <s v="ORD095"/>
    <s v="Accessories"/>
    <x v="2"/>
    <x v="5"/>
    <n v="26"/>
    <n v="50000"/>
    <n v="1300000"/>
  </r>
  <r>
    <d v="2025-03-17T00:00:00"/>
    <s v="ORD096"/>
    <s v="Mobile"/>
    <x v="1"/>
    <x v="5"/>
    <n v="38"/>
    <n v="30000"/>
    <n v="1140000"/>
  </r>
  <r>
    <d v="2025-12-03T00:00:00"/>
    <s v="ORD097"/>
    <s v="Tablet"/>
    <x v="0"/>
    <x v="2"/>
    <n v="5"/>
    <n v="1200"/>
    <n v="6000"/>
  </r>
  <r>
    <d v="2025-04-12T00:00:00"/>
    <s v="ORD098"/>
    <s v="Accessories"/>
    <x v="0"/>
    <x v="2"/>
    <n v="23"/>
    <n v="50000"/>
    <n v="1150000"/>
  </r>
  <r>
    <d v="2025-03-21T00:00:00"/>
    <s v="ORD099"/>
    <s v="Accessories"/>
    <x v="0"/>
    <x v="3"/>
    <n v="21"/>
    <n v="50000"/>
    <n v="1050000"/>
  </r>
  <r>
    <d v="2025-09-01T00:00:00"/>
    <s v="ORD100"/>
    <s v="Mobile"/>
    <x v="2"/>
    <x v="4"/>
    <n v="43"/>
    <n v="15000"/>
    <n v="644958"/>
  </r>
  <r>
    <d v="2025-03-28T00:00:00"/>
    <s v="ORD101"/>
    <s v="Tablet"/>
    <x v="4"/>
    <x v="7"/>
    <n v="28"/>
    <n v="800"/>
    <n v="22400"/>
  </r>
  <r>
    <d v="2025-02-22T00:00:00"/>
    <s v="ORD102"/>
    <s v="Accessories"/>
    <x v="3"/>
    <x v="5"/>
    <n v="50"/>
    <n v="1200"/>
    <n v="60000"/>
  </r>
  <r>
    <d v="2025-04-09T00:00:00"/>
    <s v="ORD103"/>
    <s v="Laptop"/>
    <x v="3"/>
    <x v="5"/>
    <n v="27"/>
    <n v="30000"/>
    <n v="810000"/>
  </r>
  <r>
    <d v="2025-06-21T00:00:00"/>
    <s v="ORD104"/>
    <s v="Laptop"/>
    <x v="3"/>
    <x v="3"/>
    <n v="29"/>
    <n v="1200"/>
    <n v="34800"/>
  </r>
  <r>
    <d v="2025-03-27T00:00:00"/>
    <s v="ORD105"/>
    <s v="Moblie"/>
    <x v="1"/>
    <x v="7"/>
    <n v="38"/>
    <n v="30000"/>
    <n v="1140000"/>
  </r>
  <r>
    <d v="2025-01-13T00:00:00"/>
    <s v="ORD106"/>
    <s v="Laptop"/>
    <x v="2"/>
    <x v="9"/>
    <n v="23"/>
    <n v="50000"/>
    <n v="1150000"/>
  </r>
  <r>
    <d v="2025-11-02T00:00:00"/>
    <s v="ORD107"/>
    <s v="Tablet"/>
    <x v="4"/>
    <x v="7"/>
    <n v="13"/>
    <n v="50000"/>
    <n v="650000"/>
  </r>
  <r>
    <d v="2025-01-17T00:00:00"/>
    <s v="ORD108"/>
    <s v="Accessories"/>
    <x v="0"/>
    <x v="0"/>
    <n v="26"/>
    <n v="50000"/>
    <n v="1300000"/>
  </r>
  <r>
    <d v="2025-04-14T00:00:00"/>
    <s v="ORD109"/>
    <s v="Accessories"/>
    <x v="1"/>
    <x v="4"/>
    <n v="11"/>
    <n v="50000"/>
    <n v="550000"/>
  </r>
  <r>
    <d v="2025-02-03T00:00:00"/>
    <s v="ORD110"/>
    <s v="Tablet"/>
    <x v="0"/>
    <x v="10"/>
    <n v="21"/>
    <n v="800"/>
    <n v="16800"/>
  </r>
  <r>
    <d v="2025-04-26T00:00:00"/>
    <s v="ORD111"/>
    <s v="Laptop"/>
    <x v="3"/>
    <x v="3"/>
    <n v="27"/>
    <n v="15000"/>
    <n v="404238"/>
  </r>
  <r>
    <d v="2025-01-11T00:00:00"/>
    <s v="ORD112"/>
    <s v="Laptop"/>
    <x v="2"/>
    <x v="7"/>
    <n v="14"/>
    <n v="25000"/>
    <n v="350000"/>
  </r>
  <r>
    <d v="2025-02-13T00:00:00"/>
    <s v="ORD113"/>
    <s v="Accessories"/>
    <x v="0"/>
    <x v="4"/>
    <n v="40"/>
    <n v="50000"/>
    <n v="2000000"/>
  </r>
  <r>
    <d v="2025-03-24T00:00:00"/>
    <s v="ORD114"/>
    <s v="Tablet"/>
    <x v="1"/>
    <x v="4"/>
    <n v="13"/>
    <n v="25000"/>
    <n v="325000"/>
  </r>
  <r>
    <d v="2025-01-01T00:00:00"/>
    <s v="ORD115"/>
    <s v="Mobile"/>
    <x v="0"/>
    <x v="8"/>
    <n v="1"/>
    <n v="800"/>
    <n v="800"/>
  </r>
  <r>
    <d v="2025-04-09T00:00:00"/>
    <s v="ORD116"/>
    <s v="Accesories"/>
    <x v="1"/>
    <x v="0"/>
    <n v="14"/>
    <n v="15000"/>
    <n v="209202"/>
  </r>
  <r>
    <d v="2025-04-14T00:00:00"/>
    <s v="ORD117"/>
    <s v="Accesories"/>
    <x v="3"/>
    <x v="2"/>
    <n v="24"/>
    <n v="30000"/>
    <n v="720000"/>
  </r>
  <r>
    <d v="2025-08-06T00:00:00"/>
    <s v="ORD118"/>
    <s v="Tabllet"/>
    <x v="2"/>
    <x v="8"/>
    <n v="42"/>
    <n v="800"/>
    <n v="33600"/>
  </r>
  <r>
    <d v="2025-06-24T00:00:00"/>
    <s v="ORD119"/>
    <s v="Mobile"/>
    <x v="2"/>
    <x v="7"/>
    <n v="31"/>
    <n v="30000"/>
    <n v="930307"/>
  </r>
  <r>
    <d v="2025-01-30T00:00:00"/>
    <s v="ORD120"/>
    <s v="Accessories"/>
    <x v="3"/>
    <x v="1"/>
    <n v="21"/>
    <n v="15000"/>
    <n v="315000"/>
  </r>
  <r>
    <d v="2025-02-17T00:00:00"/>
    <s v="ORD121"/>
    <s v="Mobile"/>
    <x v="0"/>
    <x v="4"/>
    <n v="25"/>
    <n v="30000"/>
    <n v="750000"/>
  </r>
  <r>
    <d v="2025-01-03T00:00:00"/>
    <s v="ORD122"/>
    <s v="Mobile"/>
    <x v="1"/>
    <x v="9"/>
    <n v="5"/>
    <n v="15000"/>
    <n v="75000"/>
  </r>
  <r>
    <d v="2025-03-09T00:00:00"/>
    <s v="ORD123"/>
    <s v="Tablet"/>
    <x v="2"/>
    <x v="9"/>
    <n v="23"/>
    <n v="25000"/>
    <n v="575000"/>
  </r>
  <r>
    <d v="2025-05-04T00:00:00"/>
    <s v="ORD124"/>
    <s v="Accessories"/>
    <x v="0"/>
    <x v="6"/>
    <n v="16"/>
    <n v="50000"/>
    <n v="800000"/>
  </r>
  <r>
    <d v="2025-05-09T00:00:00"/>
    <s v="ORD125"/>
    <s v="Accessories"/>
    <x v="3"/>
    <x v="5"/>
    <n v="26"/>
    <n v="50000"/>
    <n v="1300000"/>
  </r>
  <r>
    <d v="2025-05-03T00:00:00"/>
    <s v="ORD126"/>
    <s v="Laptop"/>
    <x v="0"/>
    <x v="4"/>
    <n v="38"/>
    <n v="800"/>
    <n v="30400"/>
  </r>
  <r>
    <d v="2025-05-19T00:00:00"/>
    <s v="ORD127"/>
    <s v="Tablet"/>
    <x v="2"/>
    <x v="0"/>
    <n v="31"/>
    <n v="800"/>
    <n v="24800"/>
  </r>
  <r>
    <d v="2025-02-23T00:00:00"/>
    <s v="ORD128"/>
    <s v="Mobile"/>
    <x v="2"/>
    <x v="7"/>
    <n v="14"/>
    <n v="1200"/>
    <n v="16800"/>
  </r>
  <r>
    <d v="2025-04-14T00:00:00"/>
    <s v="ORD129"/>
    <s v="Accessories"/>
    <x v="1"/>
    <x v="0"/>
    <n v="26"/>
    <n v="800"/>
    <n v="20800"/>
  </r>
  <r>
    <d v="2025-02-16T00:00:00"/>
    <s v="ORD130"/>
    <s v="Accessories"/>
    <x v="1"/>
    <x v="1"/>
    <n v="28"/>
    <n v="800"/>
    <n v="22400"/>
  </r>
  <r>
    <d v="2025-03-27T00:00:00"/>
    <s v="ORD131"/>
    <s v="Tablet"/>
    <x v="0"/>
    <x v="8"/>
    <n v="41"/>
    <n v="1200"/>
    <n v="49200"/>
  </r>
  <r>
    <d v="2025-06-29T00:00:00"/>
    <s v="ORD132"/>
    <s v="Mobile"/>
    <x v="0"/>
    <x v="5"/>
    <n v="25"/>
    <n v="30000"/>
    <n v="750000"/>
  </r>
  <r>
    <d v="2025-01-15T00:00:00"/>
    <s v="ORD133"/>
    <s v="Accessories"/>
    <x v="0"/>
    <x v="3"/>
    <n v="12"/>
    <n v="1200"/>
    <n v="14400"/>
  </r>
  <r>
    <d v="2025-04-13T00:00:00"/>
    <s v="ORD134"/>
    <s v="Mobile"/>
    <x v="2"/>
    <x v="8"/>
    <n v="46"/>
    <n v="15000"/>
    <n v="690000"/>
  </r>
  <r>
    <d v="2025-02-17T00:00:00"/>
    <s v="ORD135"/>
    <s v="Tablet"/>
    <x v="2"/>
    <x v="2"/>
    <n v="41"/>
    <n v="800"/>
    <n v="32800"/>
  </r>
  <r>
    <d v="2025-01-19T00:00:00"/>
    <s v="ORD136"/>
    <s v="Moblie"/>
    <x v="3"/>
    <x v="2"/>
    <n v="31"/>
    <n v="50000"/>
    <n v="1550000"/>
  </r>
  <r>
    <d v="2025-02-16T00:00:00"/>
    <s v="ORD137"/>
    <s v="Laptop"/>
    <x v="0"/>
    <x v="2"/>
    <n v="35"/>
    <n v="25000"/>
    <n v="875000"/>
  </r>
  <r>
    <d v="2025-04-17T00:00:00"/>
    <s v="ORD138"/>
    <s v="Tablet"/>
    <x v="2"/>
    <x v="7"/>
    <n v="35"/>
    <n v="50000"/>
    <n v="1750000"/>
  </r>
  <r>
    <d v="2025-06-07T00:00:00"/>
    <s v="ORD139"/>
    <s v="Laptop"/>
    <x v="3"/>
    <x v="0"/>
    <n v="2"/>
    <n v="1200"/>
    <n v="2400"/>
  </r>
  <r>
    <d v="2025-01-19T00:00:00"/>
    <s v="ORD140"/>
    <s v="Lapotp"/>
    <x v="3"/>
    <x v="5"/>
    <n v="32"/>
    <n v="1200"/>
    <n v="38400"/>
  </r>
  <r>
    <d v="2025-05-30T00:00:00"/>
    <s v="ORD141"/>
    <s v="Tablet"/>
    <x v="1"/>
    <x v="10"/>
    <n v="50"/>
    <n v="30000"/>
    <n v="1500000"/>
  </r>
  <r>
    <d v="2025-04-22T00:00:00"/>
    <s v="ORD142"/>
    <s v="Accessories"/>
    <x v="3"/>
    <x v="6"/>
    <n v="10"/>
    <n v="15000"/>
    <n v="149305"/>
  </r>
  <r>
    <d v="2025-03-21T00:00:00"/>
    <s v="ORD143"/>
    <s v="Tabllet"/>
    <x v="1"/>
    <x v="4"/>
    <n v="22"/>
    <n v="50000"/>
    <n v="1100000"/>
  </r>
  <r>
    <d v="2025-06-29T00:00:00"/>
    <s v="ORD144"/>
    <s v="Lapotp"/>
    <x v="1"/>
    <x v="9"/>
    <n v="12"/>
    <n v="15000"/>
    <n v="180000"/>
  </r>
  <r>
    <d v="2025-02-06T00:00:00"/>
    <s v="ORD145"/>
    <s v="Tablet"/>
    <x v="1"/>
    <x v="7"/>
    <n v="11"/>
    <n v="25000"/>
    <n v="275159"/>
  </r>
  <r>
    <d v="2025-04-19T00:00:00"/>
    <s v="ORD146"/>
    <s v="Tabllet"/>
    <x v="1"/>
    <x v="5"/>
    <n v="45"/>
    <n v="50000"/>
    <n v="2250000"/>
  </r>
  <r>
    <d v="2025-03-30T00:00:00"/>
    <s v="ORD147"/>
    <s v="Tablet"/>
    <x v="2"/>
    <x v="1"/>
    <n v="35"/>
    <n v="25000"/>
    <n v="875000"/>
  </r>
  <r>
    <d v="2025-03-15T00:00:00"/>
    <s v="ORD148"/>
    <s v="Tablet"/>
    <x v="0"/>
    <x v="2"/>
    <n v="35"/>
    <n v="25000"/>
    <n v="875000"/>
  </r>
  <r>
    <d v="2025-01-23T00:00:00"/>
    <s v="ORD149"/>
    <s v="Tablet"/>
    <x v="1"/>
    <x v="0"/>
    <n v="27"/>
    <n v="15000"/>
    <n v="405000"/>
  </r>
  <r>
    <d v="2025-05-06T00:00:00"/>
    <s v="ORD150"/>
    <s v="Accesories"/>
    <x v="0"/>
    <x v="8"/>
    <n v="18"/>
    <n v="15000"/>
    <n v="270000"/>
  </r>
  <r>
    <d v="2025-04-02T00:00:00"/>
    <s v="ORD151"/>
    <s v="Laptop"/>
    <x v="1"/>
    <x v="1"/>
    <n v="34"/>
    <n v="50000"/>
    <n v="1700000"/>
  </r>
  <r>
    <d v="2025-05-12T00:00:00"/>
    <s v="ORD152"/>
    <s v="Accessories"/>
    <x v="2"/>
    <x v="3"/>
    <n v="7"/>
    <n v="50000"/>
    <n v="350000"/>
  </r>
  <r>
    <d v="2025-04-14T00:00:00"/>
    <s v="ORD153"/>
    <s v="Tablet"/>
    <x v="2"/>
    <x v="9"/>
    <n v="26"/>
    <n v="15000"/>
    <n v="390000"/>
  </r>
  <r>
    <d v="2025-02-12T00:00:00"/>
    <s v="ORD154"/>
    <s v="Accessories"/>
    <x v="3"/>
    <x v="8"/>
    <n v="8"/>
    <n v="15000"/>
    <n v="120000"/>
  </r>
  <r>
    <d v="2025-01-05T00:00:00"/>
    <s v="ORD155"/>
    <s v="Mobile"/>
    <x v="2"/>
    <x v="0"/>
    <n v="3"/>
    <n v="25000"/>
    <n v="75000"/>
  </r>
  <r>
    <d v="2025-05-26T00:00:00"/>
    <s v="ORD156"/>
    <s v="Moblie"/>
    <x v="3"/>
    <x v="6"/>
    <n v="25"/>
    <n v="15000"/>
    <n v="375000"/>
  </r>
  <r>
    <d v="2025-06-21T00:00:00"/>
    <s v="ORD157"/>
    <s v="Accessories"/>
    <x v="2"/>
    <x v="8"/>
    <n v="6"/>
    <n v="50000"/>
    <n v="300000"/>
  </r>
  <r>
    <d v="2025-06-02T00:00:00"/>
    <s v="ORD158"/>
    <s v="Mobile"/>
    <x v="0"/>
    <x v="1"/>
    <n v="32"/>
    <n v="30000"/>
    <n v="960000"/>
  </r>
  <r>
    <d v="2025-01-25T00:00:00"/>
    <s v="ORD159"/>
    <s v="Accessories"/>
    <x v="1"/>
    <x v="7"/>
    <n v="31"/>
    <n v="800"/>
    <n v="24800"/>
  </r>
  <r>
    <d v="2025-03-01T00:00:00"/>
    <s v="ORD160"/>
    <s v="Accesories"/>
    <x v="0"/>
    <x v="4"/>
    <n v="48"/>
    <n v="1200"/>
    <n v="57600"/>
  </r>
  <r>
    <d v="2025-02-26T00:00:00"/>
    <s v="ORD161"/>
    <s v="Accessories"/>
    <x v="2"/>
    <x v="9"/>
    <n v="44"/>
    <n v="50000"/>
    <n v="2200000"/>
  </r>
  <r>
    <d v="2025-05-03T00:00:00"/>
    <s v="ORD162"/>
    <s v="Accessories"/>
    <x v="3"/>
    <x v="8"/>
    <n v="19"/>
    <n v="25000"/>
    <n v="475000"/>
  </r>
  <r>
    <d v="2025-06-13T00:00:00"/>
    <s v="ORD163"/>
    <s v="Laptop"/>
    <x v="0"/>
    <x v="9"/>
    <n v="32"/>
    <n v="25000"/>
    <n v="800000"/>
  </r>
  <r>
    <d v="2025-04-26T00:00:00"/>
    <s v="ORD164"/>
    <s v="Mobile"/>
    <x v="3"/>
    <x v="4"/>
    <n v="20"/>
    <n v="25000"/>
    <n v="500000"/>
  </r>
  <r>
    <d v="2025-02-03T00:00:00"/>
    <s v="ORD165"/>
    <s v="Tablet"/>
    <x v="3"/>
    <x v="0"/>
    <n v="4"/>
    <n v="15000"/>
    <n v="60000"/>
  </r>
  <r>
    <d v="2025-10-05T00:00:00"/>
    <s v="ORD166"/>
    <s v="Accessories"/>
    <x v="0"/>
    <x v="2"/>
    <n v="20"/>
    <n v="30000"/>
    <n v="600000"/>
  </r>
  <r>
    <d v="2025-03-31T00:00:00"/>
    <s v="ORD167"/>
    <s v="Lapotp"/>
    <x v="3"/>
    <x v="10"/>
    <n v="20"/>
    <n v="1200"/>
    <n v="24000"/>
  </r>
  <r>
    <d v="2025-01-21T00:00:00"/>
    <s v="ORD168"/>
    <s v="Laptop"/>
    <x v="2"/>
    <x v="4"/>
    <n v="12"/>
    <n v="15000"/>
    <n v="180000"/>
  </r>
  <r>
    <d v="2025-02-27T00:00:00"/>
    <s v="ORD169"/>
    <s v="Laptop"/>
    <x v="2"/>
    <x v="2"/>
    <n v="27"/>
    <n v="30000"/>
    <n v="810000"/>
  </r>
  <r>
    <d v="2025-02-05T00:00:00"/>
    <s v="ORD170"/>
    <s v="Mobile"/>
    <x v="3"/>
    <x v="2"/>
    <n v="43"/>
    <n v="50000"/>
    <n v="2150000"/>
  </r>
  <r>
    <d v="2025-06-27T00:00:00"/>
    <s v="ORD171"/>
    <s v="Tablet"/>
    <x v="0"/>
    <x v="10"/>
    <n v="5"/>
    <n v="30000"/>
    <n v="150000"/>
  </r>
  <r>
    <d v="2025-06-30T00:00:00"/>
    <s v="ORD172"/>
    <s v="Laptop"/>
    <x v="3"/>
    <x v="5"/>
    <n v="18"/>
    <n v="50000"/>
    <n v="900000"/>
  </r>
  <r>
    <d v="2025-05-03T00:00:00"/>
    <s v="ORD173"/>
    <s v="Accessories"/>
    <x v="2"/>
    <x v="7"/>
    <n v="13"/>
    <n v="30000"/>
    <n v="390000"/>
  </r>
  <r>
    <d v="2025-06-17T00:00:00"/>
    <s v="ORD174"/>
    <s v="Laptop"/>
    <x v="1"/>
    <x v="10"/>
    <n v="14"/>
    <n v="30000"/>
    <n v="420000"/>
  </r>
  <r>
    <d v="2025-04-20T00:00:00"/>
    <s v="ORD175"/>
    <s v="Tablet"/>
    <x v="1"/>
    <x v="9"/>
    <n v="50"/>
    <n v="30000"/>
    <n v="1500000"/>
  </r>
  <r>
    <d v="2025-03-08T00:00:00"/>
    <s v="ORD176"/>
    <s v="Mobile"/>
    <x v="2"/>
    <x v="1"/>
    <n v="6"/>
    <n v="800"/>
    <n v="4800"/>
  </r>
  <r>
    <d v="2025-06-19T00:00:00"/>
    <s v="ORD177"/>
    <s v="Mobile"/>
    <x v="0"/>
    <x v="1"/>
    <n v="29"/>
    <n v="800"/>
    <n v="23200"/>
  </r>
  <r>
    <d v="2025-04-01T00:00:00"/>
    <s v="ORD178"/>
    <s v="Accessories"/>
    <x v="2"/>
    <x v="7"/>
    <n v="12"/>
    <n v="25000"/>
    <n v="300434"/>
  </r>
  <r>
    <d v="2025-03-25T00:00:00"/>
    <s v="ORD179"/>
    <s v="Tablet"/>
    <x v="0"/>
    <x v="4"/>
    <n v="28"/>
    <n v="25000"/>
    <n v="700343"/>
  </r>
  <r>
    <d v="2025-05-06T00:00:00"/>
    <s v="ORD180"/>
    <s v="Laptop"/>
    <x v="3"/>
    <x v="1"/>
    <n v="28"/>
    <n v="30000"/>
    <n v="840000"/>
  </r>
  <r>
    <d v="2025-05-12T00:00:00"/>
    <s v="ORD181"/>
    <s v="Moblie"/>
    <x v="0"/>
    <x v="2"/>
    <n v="15"/>
    <n v="800"/>
    <n v="12000"/>
  </r>
  <r>
    <d v="2025-06-28T00:00:00"/>
    <s v="ORD182"/>
    <s v="Mobile"/>
    <x v="0"/>
    <x v="2"/>
    <n v="32"/>
    <n v="800"/>
    <n v="25600"/>
  </r>
  <r>
    <d v="2025-04-28T00:00:00"/>
    <s v="ORD183"/>
    <s v="Laptop"/>
    <x v="3"/>
    <x v="10"/>
    <n v="21"/>
    <n v="1200"/>
    <n v="25200"/>
  </r>
  <r>
    <d v="2025-04-07T00:00:00"/>
    <s v="ORD184"/>
    <s v="Mobile"/>
    <x v="3"/>
    <x v="4"/>
    <n v="28"/>
    <n v="25000"/>
    <n v="700000"/>
  </r>
  <r>
    <d v="2025-05-12T00:00:00"/>
    <s v="ORD185"/>
    <s v="Mobile"/>
    <x v="1"/>
    <x v="6"/>
    <n v="30"/>
    <n v="15000"/>
    <n v="450000"/>
  </r>
  <r>
    <d v="2025-11-06T00:00:00"/>
    <s v="ORD186"/>
    <s v="Mobile"/>
    <x v="1"/>
    <x v="7"/>
    <n v="27"/>
    <n v="30000"/>
    <n v="810000"/>
  </r>
  <r>
    <d v="2025-06-14T00:00:00"/>
    <s v="ORD187"/>
    <s v="Mobile"/>
    <x v="1"/>
    <x v="8"/>
    <n v="3"/>
    <n v="30000"/>
    <n v="90000"/>
  </r>
  <r>
    <d v="2025-08-04T00:00:00"/>
    <s v="ORD188"/>
    <s v="Lapotp"/>
    <x v="3"/>
    <x v="7"/>
    <n v="43"/>
    <n v="1200"/>
    <n v="51600"/>
  </r>
  <r>
    <d v="2025-04-04T00:00:00"/>
    <s v="ORD189"/>
    <s v="Tablet"/>
    <x v="2"/>
    <x v="5"/>
    <n v="27"/>
    <n v="1200"/>
    <n v="32400"/>
  </r>
  <r>
    <d v="2025-04-27T00:00:00"/>
    <s v="ORD190"/>
    <s v="Accessories"/>
    <x v="2"/>
    <x v="1"/>
    <n v="49"/>
    <n v="50000"/>
    <n v="2450000"/>
  </r>
  <r>
    <d v="2025-01-14T00:00:00"/>
    <s v="ORD191"/>
    <s v="Accessories"/>
    <x v="1"/>
    <x v="7"/>
    <n v="25"/>
    <n v="25000"/>
    <n v="625000"/>
  </r>
  <r>
    <d v="2025-05-14T00:00:00"/>
    <s v="ORD192"/>
    <s v="Accessories"/>
    <x v="2"/>
    <x v="10"/>
    <n v="35"/>
    <n v="15000"/>
    <n v="525000"/>
  </r>
  <r>
    <d v="2025-11-01T00:00:00"/>
    <s v="ORD193"/>
    <s v="Mobile"/>
    <x v="2"/>
    <x v="7"/>
    <n v="24"/>
    <n v="800"/>
    <n v="19200"/>
  </r>
  <r>
    <d v="2025-04-28T00:00:00"/>
    <s v="ORD194"/>
    <s v="Tablet"/>
    <x v="2"/>
    <x v="0"/>
    <n v="16"/>
    <n v="1200"/>
    <n v="19200"/>
  </r>
  <r>
    <d v="2025-02-15T00:00:00"/>
    <s v="ORD195"/>
    <s v="Accessories"/>
    <x v="2"/>
    <x v="8"/>
    <n v="19"/>
    <n v="30000"/>
    <n v="570000"/>
  </r>
  <r>
    <d v="2025-06-28T00:00:00"/>
    <s v="ORD196"/>
    <s v="Mobile"/>
    <x v="2"/>
    <x v="10"/>
    <n v="12"/>
    <n v="800"/>
    <n v="9600"/>
  </r>
  <r>
    <d v="2025-05-04T00:00:00"/>
    <s v="ORD197"/>
    <s v="Mobile"/>
    <x v="3"/>
    <x v="3"/>
    <n v="23"/>
    <n v="1200"/>
    <n v="27600"/>
  </r>
  <r>
    <d v="2025-04-19T00:00:00"/>
    <s v="ORD198"/>
    <s v="Laptop"/>
    <x v="1"/>
    <x v="0"/>
    <n v="5"/>
    <n v="1200"/>
    <n v="6000"/>
  </r>
  <r>
    <d v="2025-06-11T00:00:00"/>
    <s v="ORD199"/>
    <s v="Accessories"/>
    <x v="0"/>
    <x v="1"/>
    <n v="44"/>
    <n v="1200"/>
    <n v="52800"/>
  </r>
  <r>
    <d v="2025-04-25T00:00:00"/>
    <s v="ORD200"/>
    <s v="Tablet"/>
    <x v="1"/>
    <x v="2"/>
    <n v="46"/>
    <n v="25000"/>
    <n v="115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ORD001"/>
    <x v="0"/>
    <x v="0"/>
    <x v="0"/>
    <x v="0"/>
    <n v="1200"/>
    <n v="32400"/>
  </r>
  <r>
    <x v="1"/>
    <s v="ORD002"/>
    <x v="1"/>
    <x v="0"/>
    <x v="1"/>
    <x v="1"/>
    <n v="25000"/>
    <n v="750000"/>
  </r>
  <r>
    <x v="2"/>
    <s v="ORD003"/>
    <x v="2"/>
    <x v="0"/>
    <x v="2"/>
    <x v="2"/>
    <n v="25000"/>
    <n v="575000"/>
  </r>
  <r>
    <x v="3"/>
    <s v="ORD004"/>
    <x v="3"/>
    <x v="1"/>
    <x v="3"/>
    <x v="3"/>
    <n v="800"/>
    <n v="4800"/>
  </r>
  <r>
    <x v="4"/>
    <s v="ORD005"/>
    <x v="3"/>
    <x v="2"/>
    <x v="4"/>
    <x v="4"/>
    <n v="30000"/>
    <n v="1350000"/>
  </r>
  <r>
    <x v="5"/>
    <s v="ORD006"/>
    <x v="1"/>
    <x v="1"/>
    <x v="5"/>
    <x v="2"/>
    <n v="1200"/>
    <n v="27600"/>
  </r>
  <r>
    <x v="6"/>
    <s v="ORD007"/>
    <x v="2"/>
    <x v="0"/>
    <x v="2"/>
    <x v="5"/>
    <n v="800"/>
    <n v="12800"/>
  </r>
  <r>
    <x v="7"/>
    <s v="ORD008"/>
    <x v="3"/>
    <x v="1"/>
    <x v="6"/>
    <x v="6"/>
    <n v="50000"/>
    <n v="2500000"/>
  </r>
  <r>
    <x v="8"/>
    <s v="ORD009"/>
    <x v="1"/>
    <x v="1"/>
    <x v="2"/>
    <x v="7"/>
    <n v="15000"/>
    <n v="555000"/>
  </r>
  <r>
    <x v="9"/>
    <s v="ORD010"/>
    <x v="0"/>
    <x v="0"/>
    <x v="3"/>
    <x v="8"/>
    <n v="800"/>
    <n v="32000"/>
  </r>
  <r>
    <x v="10"/>
    <s v="ORD011"/>
    <x v="3"/>
    <x v="2"/>
    <x v="7"/>
    <x v="9"/>
    <n v="800"/>
    <n v="32800"/>
  </r>
  <r>
    <x v="11"/>
    <s v="ORD012"/>
    <x v="1"/>
    <x v="2"/>
    <x v="7"/>
    <x v="0"/>
    <n v="50000"/>
    <n v="1350000"/>
  </r>
  <r>
    <x v="12"/>
    <s v="ORD013"/>
    <x v="1"/>
    <x v="3"/>
    <x v="6"/>
    <x v="10"/>
    <n v="25000"/>
    <n v="799549"/>
  </r>
  <r>
    <x v="4"/>
    <s v="ORD014"/>
    <x v="1"/>
    <x v="1"/>
    <x v="6"/>
    <x v="11"/>
    <n v="30000"/>
    <n v="360000"/>
  </r>
  <r>
    <x v="13"/>
    <s v="ORD015"/>
    <x v="0"/>
    <x v="3"/>
    <x v="3"/>
    <x v="12"/>
    <n v="25000"/>
    <n v="650000"/>
  </r>
  <r>
    <x v="14"/>
    <s v="ORD016"/>
    <x v="1"/>
    <x v="2"/>
    <x v="8"/>
    <x v="9"/>
    <n v="50000"/>
    <n v="2050000"/>
  </r>
  <r>
    <x v="15"/>
    <s v="ORD017"/>
    <x v="1"/>
    <x v="3"/>
    <x v="6"/>
    <x v="13"/>
    <n v="1200"/>
    <n v="37200"/>
  </r>
  <r>
    <x v="16"/>
    <s v="ORD018"/>
    <x v="3"/>
    <x v="2"/>
    <x v="0"/>
    <x v="10"/>
    <n v="1200"/>
    <n v="38400"/>
  </r>
  <r>
    <x v="17"/>
    <s v="ORD019"/>
    <x v="1"/>
    <x v="1"/>
    <x v="8"/>
    <x v="14"/>
    <n v="50000"/>
    <n v="1200000"/>
  </r>
  <r>
    <x v="18"/>
    <s v="ORD020"/>
    <x v="2"/>
    <x v="2"/>
    <x v="3"/>
    <x v="13"/>
    <n v="50000"/>
    <n v="1550000"/>
  </r>
  <r>
    <x v="19"/>
    <s v="ORD021"/>
    <x v="1"/>
    <x v="0"/>
    <x v="9"/>
    <x v="15"/>
    <n v="15000"/>
    <n v="105000"/>
  </r>
  <r>
    <x v="20"/>
    <s v="ORD022"/>
    <x v="1"/>
    <x v="2"/>
    <x v="3"/>
    <x v="16"/>
    <n v="800"/>
    <n v="28000"/>
  </r>
  <r>
    <x v="21"/>
    <s v="ORD023"/>
    <x v="2"/>
    <x v="3"/>
    <x v="6"/>
    <x v="17"/>
    <n v="1200"/>
    <n v="21600"/>
  </r>
  <r>
    <x v="22"/>
    <s v="ORD024"/>
    <x v="3"/>
    <x v="3"/>
    <x v="6"/>
    <x v="4"/>
    <n v="25000"/>
    <n v="1125000"/>
  </r>
  <r>
    <x v="23"/>
    <s v="ORD025"/>
    <x v="0"/>
    <x v="0"/>
    <x v="8"/>
    <x v="18"/>
    <n v="800"/>
    <n v="16000"/>
  </r>
  <r>
    <x v="24"/>
    <s v="ORD026"/>
    <x v="2"/>
    <x v="2"/>
    <x v="1"/>
    <x v="1"/>
    <n v="25000"/>
    <n v="750000"/>
  </r>
  <r>
    <x v="25"/>
    <s v="ORD027"/>
    <x v="0"/>
    <x v="0"/>
    <x v="9"/>
    <x v="19"/>
    <n v="25000"/>
    <n v="100000"/>
  </r>
  <r>
    <x v="26"/>
    <s v="ORD028"/>
    <x v="2"/>
    <x v="2"/>
    <x v="6"/>
    <x v="7"/>
    <n v="50000"/>
    <n v="1850000"/>
  </r>
  <r>
    <x v="27"/>
    <s v="ORD029"/>
    <x v="3"/>
    <x v="1"/>
    <x v="1"/>
    <x v="20"/>
    <n v="30000"/>
    <n v="390000"/>
  </r>
  <r>
    <x v="28"/>
    <s v="ORD030"/>
    <x v="3"/>
    <x v="1"/>
    <x v="2"/>
    <x v="2"/>
    <n v="1200"/>
    <n v="27600"/>
  </r>
  <r>
    <x v="29"/>
    <s v="ORD031"/>
    <x v="2"/>
    <x v="1"/>
    <x v="4"/>
    <x v="13"/>
    <n v="50000"/>
    <n v="1550000"/>
  </r>
  <r>
    <x v="30"/>
    <s v="ORD032"/>
    <x v="0"/>
    <x v="0"/>
    <x v="9"/>
    <x v="14"/>
    <n v="25000"/>
    <n v="600000"/>
  </r>
  <r>
    <x v="31"/>
    <s v="ORD033"/>
    <x v="1"/>
    <x v="0"/>
    <x v="5"/>
    <x v="10"/>
    <n v="25000"/>
    <n v="800000"/>
  </r>
  <r>
    <x v="32"/>
    <s v="ORD034"/>
    <x v="2"/>
    <x v="0"/>
    <x v="9"/>
    <x v="21"/>
    <n v="15000"/>
    <n v="315000"/>
  </r>
  <r>
    <x v="33"/>
    <s v="ORD035"/>
    <x v="1"/>
    <x v="2"/>
    <x v="5"/>
    <x v="22"/>
    <n v="1200"/>
    <n v="58800"/>
  </r>
  <r>
    <x v="34"/>
    <s v="ORD036"/>
    <x v="0"/>
    <x v="1"/>
    <x v="7"/>
    <x v="23"/>
    <n v="15000"/>
    <n v="150000"/>
  </r>
  <r>
    <x v="35"/>
    <s v="ORD037"/>
    <x v="1"/>
    <x v="1"/>
    <x v="4"/>
    <x v="24"/>
    <n v="50000"/>
    <n v="2150000"/>
  </r>
  <r>
    <x v="36"/>
    <s v="ORD038"/>
    <x v="1"/>
    <x v="3"/>
    <x v="6"/>
    <x v="25"/>
    <n v="1200"/>
    <n v="43200"/>
  </r>
  <r>
    <x v="37"/>
    <s v="ORD039"/>
    <x v="0"/>
    <x v="1"/>
    <x v="4"/>
    <x v="26"/>
    <n v="25000"/>
    <n v="425000"/>
  </r>
  <r>
    <x v="38"/>
    <s v="ORD040"/>
    <x v="3"/>
    <x v="3"/>
    <x v="3"/>
    <x v="5"/>
    <n v="50000"/>
    <n v="800000"/>
  </r>
  <r>
    <x v="39"/>
    <s v="ORD041"/>
    <x v="0"/>
    <x v="3"/>
    <x v="2"/>
    <x v="1"/>
    <n v="800"/>
    <n v="24000"/>
  </r>
  <r>
    <x v="40"/>
    <s v="ORD042"/>
    <x v="3"/>
    <x v="0"/>
    <x v="7"/>
    <x v="27"/>
    <n v="800"/>
    <n v="2400"/>
  </r>
  <r>
    <x v="41"/>
    <s v="ORD043"/>
    <x v="0"/>
    <x v="1"/>
    <x v="1"/>
    <x v="8"/>
    <n v="25000"/>
    <n v="1000000"/>
  </r>
  <r>
    <x v="42"/>
    <s v="ORD044"/>
    <x v="3"/>
    <x v="0"/>
    <x v="3"/>
    <x v="15"/>
    <n v="30000"/>
    <n v="210000"/>
  </r>
  <r>
    <x v="43"/>
    <s v="ORD045"/>
    <x v="3"/>
    <x v="2"/>
    <x v="4"/>
    <x v="20"/>
    <n v="30000"/>
    <n v="390000"/>
  </r>
  <r>
    <x v="44"/>
    <s v="ORD046"/>
    <x v="3"/>
    <x v="0"/>
    <x v="0"/>
    <x v="28"/>
    <n v="1200"/>
    <n v="34800"/>
  </r>
  <r>
    <x v="45"/>
    <s v="ORD047"/>
    <x v="0"/>
    <x v="3"/>
    <x v="4"/>
    <x v="4"/>
    <n v="30000"/>
    <n v="1350000"/>
  </r>
  <r>
    <x v="46"/>
    <s v="ORD048"/>
    <x v="0"/>
    <x v="0"/>
    <x v="9"/>
    <x v="4"/>
    <n v="15000"/>
    <n v="675000"/>
  </r>
  <r>
    <x v="47"/>
    <s v="ORD049"/>
    <x v="1"/>
    <x v="0"/>
    <x v="2"/>
    <x v="29"/>
    <n v="800"/>
    <n v="15200"/>
  </r>
  <r>
    <x v="48"/>
    <s v="ORD050"/>
    <x v="2"/>
    <x v="3"/>
    <x v="0"/>
    <x v="30"/>
    <n v="25000"/>
    <n v="1175000"/>
  </r>
  <r>
    <x v="47"/>
    <s v="ORD051"/>
    <x v="3"/>
    <x v="2"/>
    <x v="5"/>
    <x v="23"/>
    <n v="800"/>
    <n v="7346"/>
  </r>
  <r>
    <x v="49"/>
    <s v="ORD052"/>
    <x v="0"/>
    <x v="0"/>
    <x v="1"/>
    <x v="31"/>
    <n v="15000"/>
    <n v="630000"/>
  </r>
  <r>
    <x v="7"/>
    <s v="ORD053"/>
    <x v="3"/>
    <x v="3"/>
    <x v="8"/>
    <x v="29"/>
    <n v="800"/>
    <n v="15200"/>
  </r>
  <r>
    <x v="50"/>
    <s v="ORD054"/>
    <x v="1"/>
    <x v="0"/>
    <x v="2"/>
    <x v="22"/>
    <n v="50000"/>
    <n v="2450000"/>
  </r>
  <r>
    <x v="51"/>
    <s v="ORD055"/>
    <x v="0"/>
    <x v="2"/>
    <x v="0"/>
    <x v="32"/>
    <n v="15000"/>
    <n v="210000"/>
  </r>
  <r>
    <x v="52"/>
    <s v="ORD056"/>
    <x v="3"/>
    <x v="3"/>
    <x v="2"/>
    <x v="23"/>
    <n v="1200"/>
    <n v="12000"/>
  </r>
  <r>
    <x v="53"/>
    <s v="ORD057"/>
    <x v="2"/>
    <x v="1"/>
    <x v="2"/>
    <x v="14"/>
    <n v="30000"/>
    <n v="720000"/>
  </r>
  <r>
    <x v="54"/>
    <s v="ORD058"/>
    <x v="0"/>
    <x v="3"/>
    <x v="2"/>
    <x v="2"/>
    <n v="25000"/>
    <n v="575000"/>
  </r>
  <r>
    <x v="3"/>
    <s v="ORD059"/>
    <x v="0"/>
    <x v="3"/>
    <x v="9"/>
    <x v="15"/>
    <n v="25000"/>
    <n v="175000"/>
  </r>
  <r>
    <x v="55"/>
    <s v="ORD060"/>
    <x v="2"/>
    <x v="0"/>
    <x v="6"/>
    <x v="33"/>
    <n v="25000"/>
    <n v="1200000"/>
  </r>
  <r>
    <x v="56"/>
    <s v="ORD061"/>
    <x v="3"/>
    <x v="3"/>
    <x v="2"/>
    <x v="32"/>
    <n v="1200"/>
    <n v="16800"/>
  </r>
  <r>
    <x v="29"/>
    <s v="ORD062"/>
    <x v="1"/>
    <x v="1"/>
    <x v="4"/>
    <x v="21"/>
    <n v="30000"/>
    <n v="630000"/>
  </r>
  <r>
    <x v="57"/>
    <s v="ORD063"/>
    <x v="0"/>
    <x v="1"/>
    <x v="5"/>
    <x v="13"/>
    <n v="1200"/>
    <n v="37200"/>
  </r>
  <r>
    <x v="48"/>
    <s v="ORD064"/>
    <x v="3"/>
    <x v="3"/>
    <x v="2"/>
    <x v="34"/>
    <n v="30000"/>
    <n v="1320000"/>
  </r>
  <r>
    <x v="58"/>
    <s v="ORD065"/>
    <x v="3"/>
    <x v="0"/>
    <x v="3"/>
    <x v="35"/>
    <n v="30000"/>
    <n v="450000"/>
  </r>
  <r>
    <x v="59"/>
    <s v="ORD066"/>
    <x v="2"/>
    <x v="0"/>
    <x v="6"/>
    <x v="36"/>
    <n v="15000"/>
    <n v="120000"/>
  </r>
  <r>
    <x v="60"/>
    <s v="ORD067"/>
    <x v="3"/>
    <x v="0"/>
    <x v="8"/>
    <x v="37"/>
    <n v="25000"/>
    <n v="125000"/>
  </r>
  <r>
    <x v="61"/>
    <s v="ORD068"/>
    <x v="0"/>
    <x v="0"/>
    <x v="3"/>
    <x v="0"/>
    <n v="15000"/>
    <n v="405000"/>
  </r>
  <r>
    <x v="62"/>
    <s v="ORD069"/>
    <x v="1"/>
    <x v="0"/>
    <x v="7"/>
    <x v="26"/>
    <n v="25000"/>
    <n v="425000"/>
  </r>
  <r>
    <x v="63"/>
    <s v="ORD070"/>
    <x v="3"/>
    <x v="0"/>
    <x v="8"/>
    <x v="36"/>
    <n v="25000"/>
    <n v="200000"/>
  </r>
  <r>
    <x v="64"/>
    <s v="ORD071"/>
    <x v="0"/>
    <x v="0"/>
    <x v="8"/>
    <x v="38"/>
    <n v="50000"/>
    <n v="100000"/>
  </r>
  <r>
    <x v="65"/>
    <s v="ORD072"/>
    <x v="2"/>
    <x v="0"/>
    <x v="2"/>
    <x v="8"/>
    <n v="1200"/>
    <n v="48000"/>
  </r>
  <r>
    <x v="66"/>
    <s v="ORD073"/>
    <x v="0"/>
    <x v="3"/>
    <x v="9"/>
    <x v="39"/>
    <n v="800"/>
    <n v="27200"/>
  </r>
  <r>
    <x v="67"/>
    <s v="ORD074"/>
    <x v="3"/>
    <x v="2"/>
    <x v="6"/>
    <x v="40"/>
    <n v="25000"/>
    <n v="825000"/>
  </r>
  <r>
    <x v="68"/>
    <s v="ORD075"/>
    <x v="1"/>
    <x v="1"/>
    <x v="0"/>
    <x v="39"/>
    <n v="1200"/>
    <n v="40800"/>
  </r>
  <r>
    <x v="68"/>
    <s v="ORD076"/>
    <x v="1"/>
    <x v="2"/>
    <x v="6"/>
    <x v="3"/>
    <n v="25000"/>
    <n v="150000"/>
  </r>
  <r>
    <x v="69"/>
    <s v="ORD077"/>
    <x v="1"/>
    <x v="2"/>
    <x v="5"/>
    <x v="37"/>
    <n v="15000"/>
    <n v="75000"/>
  </r>
  <r>
    <x v="5"/>
    <s v="ORD078"/>
    <x v="3"/>
    <x v="0"/>
    <x v="8"/>
    <x v="2"/>
    <n v="800"/>
    <n v="18400"/>
  </r>
  <r>
    <x v="70"/>
    <s v="ORD079"/>
    <x v="1"/>
    <x v="2"/>
    <x v="2"/>
    <x v="22"/>
    <n v="50000"/>
    <n v="2450000"/>
  </r>
  <r>
    <x v="71"/>
    <s v="ORD080"/>
    <x v="3"/>
    <x v="1"/>
    <x v="6"/>
    <x v="30"/>
    <n v="1200"/>
    <n v="56400"/>
  </r>
  <r>
    <x v="5"/>
    <s v="ORD081"/>
    <x v="3"/>
    <x v="2"/>
    <x v="1"/>
    <x v="41"/>
    <n v="15000"/>
    <n v="375000"/>
  </r>
  <r>
    <x v="12"/>
    <s v="ORD082"/>
    <x v="0"/>
    <x v="2"/>
    <x v="2"/>
    <x v="9"/>
    <n v="50000"/>
    <n v="2050000"/>
  </r>
  <r>
    <x v="72"/>
    <s v="ORD083"/>
    <x v="0"/>
    <x v="0"/>
    <x v="1"/>
    <x v="8"/>
    <n v="1200"/>
    <n v="48000"/>
  </r>
  <r>
    <x v="73"/>
    <s v="ORD084"/>
    <x v="0"/>
    <x v="1"/>
    <x v="5"/>
    <x v="29"/>
    <n v="1200"/>
    <n v="22800"/>
  </r>
  <r>
    <x v="69"/>
    <s v="ORD085"/>
    <x v="1"/>
    <x v="3"/>
    <x v="9"/>
    <x v="12"/>
    <n v="50000"/>
    <n v="1300000"/>
  </r>
  <r>
    <x v="74"/>
    <s v="ORD086"/>
    <x v="0"/>
    <x v="0"/>
    <x v="4"/>
    <x v="42"/>
    <n v="50000"/>
    <n v="50000"/>
  </r>
  <r>
    <x v="21"/>
    <s v="ORD087"/>
    <x v="0"/>
    <x v="0"/>
    <x v="3"/>
    <x v="24"/>
    <n v="800"/>
    <n v="34400"/>
  </r>
  <r>
    <x v="75"/>
    <s v="ORD088"/>
    <x v="0"/>
    <x v="0"/>
    <x v="9"/>
    <x v="3"/>
    <n v="800"/>
    <n v="4800"/>
  </r>
  <r>
    <x v="76"/>
    <s v="ORD089"/>
    <x v="1"/>
    <x v="2"/>
    <x v="8"/>
    <x v="43"/>
    <n v="50000"/>
    <n v="450000"/>
  </r>
  <r>
    <x v="39"/>
    <s v="ORD090"/>
    <x v="2"/>
    <x v="0"/>
    <x v="7"/>
    <x v="44"/>
    <n v="800"/>
    <n v="8800"/>
  </r>
  <r>
    <x v="33"/>
    <s v="ORD091"/>
    <x v="2"/>
    <x v="1"/>
    <x v="2"/>
    <x v="45"/>
    <n v="15000"/>
    <n v="689245"/>
  </r>
  <r>
    <x v="77"/>
    <s v="ORD092"/>
    <x v="0"/>
    <x v="3"/>
    <x v="5"/>
    <x v="11"/>
    <n v="30000"/>
    <n v="360000"/>
  </r>
  <r>
    <x v="76"/>
    <s v="ORD093"/>
    <x v="2"/>
    <x v="3"/>
    <x v="8"/>
    <x v="23"/>
    <n v="50000"/>
    <n v="500000"/>
  </r>
  <r>
    <x v="78"/>
    <s v="ORD094"/>
    <x v="1"/>
    <x v="1"/>
    <x v="6"/>
    <x v="31"/>
    <n v="30000"/>
    <n v="1260000"/>
  </r>
  <r>
    <x v="79"/>
    <s v="ORD095"/>
    <x v="1"/>
    <x v="2"/>
    <x v="5"/>
    <x v="12"/>
    <n v="50000"/>
    <n v="1300000"/>
  </r>
  <r>
    <x v="80"/>
    <s v="ORD096"/>
    <x v="3"/>
    <x v="1"/>
    <x v="5"/>
    <x v="46"/>
    <n v="30000"/>
    <n v="1140000"/>
  </r>
  <r>
    <x v="81"/>
    <s v="ORD097"/>
    <x v="2"/>
    <x v="0"/>
    <x v="2"/>
    <x v="37"/>
    <n v="1200"/>
    <n v="6000"/>
  </r>
  <r>
    <x v="82"/>
    <s v="ORD098"/>
    <x v="1"/>
    <x v="0"/>
    <x v="2"/>
    <x v="2"/>
    <n v="50000"/>
    <n v="1150000"/>
  </r>
  <r>
    <x v="16"/>
    <s v="ORD099"/>
    <x v="1"/>
    <x v="0"/>
    <x v="3"/>
    <x v="21"/>
    <n v="50000"/>
    <n v="1050000"/>
  </r>
  <r>
    <x v="70"/>
    <s v="ORD100"/>
    <x v="3"/>
    <x v="2"/>
    <x v="4"/>
    <x v="24"/>
    <n v="15000"/>
    <n v="644958"/>
  </r>
  <r>
    <x v="83"/>
    <s v="ORD101"/>
    <x v="2"/>
    <x v="0"/>
    <x v="6"/>
    <x v="47"/>
    <n v="800"/>
    <n v="22400"/>
  </r>
  <r>
    <x v="84"/>
    <s v="ORD102"/>
    <x v="1"/>
    <x v="3"/>
    <x v="5"/>
    <x v="6"/>
    <n v="1200"/>
    <n v="60000"/>
  </r>
  <r>
    <x v="85"/>
    <s v="ORD103"/>
    <x v="0"/>
    <x v="3"/>
    <x v="5"/>
    <x v="0"/>
    <n v="30000"/>
    <n v="810000"/>
  </r>
  <r>
    <x v="86"/>
    <s v="ORD104"/>
    <x v="0"/>
    <x v="3"/>
    <x v="3"/>
    <x v="28"/>
    <n v="1200"/>
    <n v="34800"/>
  </r>
  <r>
    <x v="87"/>
    <s v="ORD105"/>
    <x v="3"/>
    <x v="1"/>
    <x v="6"/>
    <x v="46"/>
    <n v="30000"/>
    <n v="1140000"/>
  </r>
  <r>
    <x v="71"/>
    <s v="ORD106"/>
    <x v="0"/>
    <x v="2"/>
    <x v="8"/>
    <x v="2"/>
    <n v="50000"/>
    <n v="1150000"/>
  </r>
  <r>
    <x v="88"/>
    <s v="ORD107"/>
    <x v="2"/>
    <x v="0"/>
    <x v="6"/>
    <x v="20"/>
    <n v="50000"/>
    <n v="650000"/>
  </r>
  <r>
    <x v="89"/>
    <s v="ORD108"/>
    <x v="1"/>
    <x v="0"/>
    <x v="0"/>
    <x v="12"/>
    <n v="50000"/>
    <n v="1300000"/>
  </r>
  <r>
    <x v="90"/>
    <s v="ORD109"/>
    <x v="1"/>
    <x v="1"/>
    <x v="4"/>
    <x v="44"/>
    <n v="50000"/>
    <n v="550000"/>
  </r>
  <r>
    <x v="91"/>
    <s v="ORD110"/>
    <x v="2"/>
    <x v="0"/>
    <x v="9"/>
    <x v="21"/>
    <n v="800"/>
    <n v="16800"/>
  </r>
  <r>
    <x v="92"/>
    <s v="ORD111"/>
    <x v="0"/>
    <x v="3"/>
    <x v="3"/>
    <x v="0"/>
    <n v="15000"/>
    <n v="404238"/>
  </r>
  <r>
    <x v="93"/>
    <s v="ORD112"/>
    <x v="0"/>
    <x v="2"/>
    <x v="6"/>
    <x v="32"/>
    <n v="25000"/>
    <n v="350000"/>
  </r>
  <r>
    <x v="67"/>
    <s v="ORD113"/>
    <x v="1"/>
    <x v="0"/>
    <x v="4"/>
    <x v="8"/>
    <n v="50000"/>
    <n v="2000000"/>
  </r>
  <r>
    <x v="94"/>
    <s v="ORD114"/>
    <x v="2"/>
    <x v="1"/>
    <x v="4"/>
    <x v="20"/>
    <n v="25000"/>
    <n v="325000"/>
  </r>
  <r>
    <x v="57"/>
    <s v="ORD115"/>
    <x v="3"/>
    <x v="0"/>
    <x v="7"/>
    <x v="42"/>
    <n v="800"/>
    <n v="800"/>
  </r>
  <r>
    <x v="85"/>
    <s v="ORD116"/>
    <x v="1"/>
    <x v="1"/>
    <x v="0"/>
    <x v="32"/>
    <n v="15000"/>
    <n v="209202"/>
  </r>
  <r>
    <x v="90"/>
    <s v="ORD117"/>
    <x v="1"/>
    <x v="3"/>
    <x v="2"/>
    <x v="14"/>
    <n v="30000"/>
    <n v="720000"/>
  </r>
  <r>
    <x v="56"/>
    <s v="ORD118"/>
    <x v="2"/>
    <x v="2"/>
    <x v="7"/>
    <x v="31"/>
    <n v="800"/>
    <n v="33600"/>
  </r>
  <r>
    <x v="43"/>
    <s v="ORD119"/>
    <x v="3"/>
    <x v="2"/>
    <x v="6"/>
    <x v="13"/>
    <n v="30000"/>
    <n v="930307"/>
  </r>
  <r>
    <x v="95"/>
    <s v="ORD120"/>
    <x v="1"/>
    <x v="3"/>
    <x v="1"/>
    <x v="21"/>
    <n v="15000"/>
    <n v="315000"/>
  </r>
  <r>
    <x v="44"/>
    <s v="ORD121"/>
    <x v="3"/>
    <x v="0"/>
    <x v="4"/>
    <x v="41"/>
    <n v="30000"/>
    <n v="750000"/>
  </r>
  <r>
    <x v="96"/>
    <s v="ORD122"/>
    <x v="3"/>
    <x v="1"/>
    <x v="8"/>
    <x v="37"/>
    <n v="15000"/>
    <n v="75000"/>
  </r>
  <r>
    <x v="97"/>
    <s v="ORD123"/>
    <x v="2"/>
    <x v="2"/>
    <x v="8"/>
    <x v="2"/>
    <n v="25000"/>
    <n v="575000"/>
  </r>
  <r>
    <x v="58"/>
    <s v="ORD124"/>
    <x v="1"/>
    <x v="0"/>
    <x v="2"/>
    <x v="5"/>
    <n v="50000"/>
    <n v="800000"/>
  </r>
  <r>
    <x v="59"/>
    <s v="ORD125"/>
    <x v="1"/>
    <x v="3"/>
    <x v="5"/>
    <x v="12"/>
    <n v="50000"/>
    <n v="1300000"/>
  </r>
  <r>
    <x v="35"/>
    <s v="ORD126"/>
    <x v="0"/>
    <x v="0"/>
    <x v="4"/>
    <x v="46"/>
    <n v="800"/>
    <n v="30400"/>
  </r>
  <r>
    <x v="98"/>
    <s v="ORD127"/>
    <x v="2"/>
    <x v="2"/>
    <x v="0"/>
    <x v="13"/>
    <n v="800"/>
    <n v="24800"/>
  </r>
  <r>
    <x v="54"/>
    <s v="ORD128"/>
    <x v="3"/>
    <x v="2"/>
    <x v="6"/>
    <x v="32"/>
    <n v="1200"/>
    <n v="16800"/>
  </r>
  <r>
    <x v="90"/>
    <s v="ORD129"/>
    <x v="1"/>
    <x v="1"/>
    <x v="0"/>
    <x v="12"/>
    <n v="800"/>
    <n v="20800"/>
  </r>
  <r>
    <x v="99"/>
    <s v="ORD130"/>
    <x v="1"/>
    <x v="1"/>
    <x v="1"/>
    <x v="47"/>
    <n v="800"/>
    <n v="22400"/>
  </r>
  <r>
    <x v="87"/>
    <s v="ORD131"/>
    <x v="2"/>
    <x v="0"/>
    <x v="7"/>
    <x v="9"/>
    <n v="1200"/>
    <n v="49200"/>
  </r>
  <r>
    <x v="27"/>
    <s v="ORD132"/>
    <x v="3"/>
    <x v="0"/>
    <x v="5"/>
    <x v="41"/>
    <n v="30000"/>
    <n v="750000"/>
  </r>
  <r>
    <x v="62"/>
    <s v="ORD133"/>
    <x v="1"/>
    <x v="0"/>
    <x v="3"/>
    <x v="11"/>
    <n v="1200"/>
    <n v="14400"/>
  </r>
  <r>
    <x v="39"/>
    <s v="ORD134"/>
    <x v="3"/>
    <x v="2"/>
    <x v="7"/>
    <x v="45"/>
    <n v="15000"/>
    <n v="690000"/>
  </r>
  <r>
    <x v="44"/>
    <s v="ORD135"/>
    <x v="2"/>
    <x v="2"/>
    <x v="2"/>
    <x v="9"/>
    <n v="800"/>
    <n v="32800"/>
  </r>
  <r>
    <x v="23"/>
    <s v="ORD136"/>
    <x v="3"/>
    <x v="3"/>
    <x v="2"/>
    <x v="13"/>
    <n v="50000"/>
    <n v="1550000"/>
  </r>
  <r>
    <x v="99"/>
    <s v="ORD137"/>
    <x v="0"/>
    <x v="0"/>
    <x v="2"/>
    <x v="16"/>
    <n v="25000"/>
    <n v="875000"/>
  </r>
  <r>
    <x v="100"/>
    <s v="ORD138"/>
    <x v="2"/>
    <x v="2"/>
    <x v="6"/>
    <x v="16"/>
    <n v="50000"/>
    <n v="1750000"/>
  </r>
  <r>
    <x v="49"/>
    <s v="ORD139"/>
    <x v="0"/>
    <x v="3"/>
    <x v="0"/>
    <x v="38"/>
    <n v="1200"/>
    <n v="2400"/>
  </r>
  <r>
    <x v="23"/>
    <s v="ORD140"/>
    <x v="0"/>
    <x v="3"/>
    <x v="5"/>
    <x v="10"/>
    <n v="1200"/>
    <n v="38400"/>
  </r>
  <r>
    <x v="101"/>
    <s v="ORD141"/>
    <x v="2"/>
    <x v="1"/>
    <x v="9"/>
    <x v="6"/>
    <n v="30000"/>
    <n v="1500000"/>
  </r>
  <r>
    <x v="55"/>
    <s v="ORD142"/>
    <x v="1"/>
    <x v="3"/>
    <x v="2"/>
    <x v="23"/>
    <n v="15000"/>
    <n v="149305"/>
  </r>
  <r>
    <x v="16"/>
    <s v="ORD143"/>
    <x v="2"/>
    <x v="1"/>
    <x v="4"/>
    <x v="48"/>
    <n v="50000"/>
    <n v="1100000"/>
  </r>
  <r>
    <x v="27"/>
    <s v="ORD144"/>
    <x v="0"/>
    <x v="1"/>
    <x v="8"/>
    <x v="11"/>
    <n v="15000"/>
    <n v="180000"/>
  </r>
  <r>
    <x v="102"/>
    <s v="ORD145"/>
    <x v="2"/>
    <x v="1"/>
    <x v="6"/>
    <x v="44"/>
    <n v="25000"/>
    <n v="275159"/>
  </r>
  <r>
    <x v="103"/>
    <s v="ORD146"/>
    <x v="2"/>
    <x v="1"/>
    <x v="5"/>
    <x v="4"/>
    <n v="50000"/>
    <n v="2250000"/>
  </r>
  <r>
    <x v="104"/>
    <s v="ORD147"/>
    <x v="2"/>
    <x v="2"/>
    <x v="1"/>
    <x v="16"/>
    <n v="25000"/>
    <n v="875000"/>
  </r>
  <r>
    <x v="10"/>
    <s v="ORD148"/>
    <x v="2"/>
    <x v="0"/>
    <x v="2"/>
    <x v="16"/>
    <n v="25000"/>
    <n v="875000"/>
  </r>
  <r>
    <x v="34"/>
    <s v="ORD149"/>
    <x v="2"/>
    <x v="1"/>
    <x v="0"/>
    <x v="0"/>
    <n v="15000"/>
    <n v="405000"/>
  </r>
  <r>
    <x v="66"/>
    <s v="ORD150"/>
    <x v="1"/>
    <x v="0"/>
    <x v="7"/>
    <x v="17"/>
    <n v="15000"/>
    <n v="270000"/>
  </r>
  <r>
    <x v="105"/>
    <s v="ORD151"/>
    <x v="0"/>
    <x v="1"/>
    <x v="1"/>
    <x v="39"/>
    <n v="50000"/>
    <n v="1700000"/>
  </r>
  <r>
    <x v="30"/>
    <s v="ORD152"/>
    <x v="1"/>
    <x v="2"/>
    <x v="3"/>
    <x v="15"/>
    <n v="50000"/>
    <n v="350000"/>
  </r>
  <r>
    <x v="90"/>
    <s v="ORD153"/>
    <x v="2"/>
    <x v="2"/>
    <x v="8"/>
    <x v="12"/>
    <n v="15000"/>
    <n v="390000"/>
  </r>
  <r>
    <x v="106"/>
    <s v="ORD154"/>
    <x v="1"/>
    <x v="3"/>
    <x v="7"/>
    <x v="36"/>
    <n v="15000"/>
    <n v="120000"/>
  </r>
  <r>
    <x v="74"/>
    <s v="ORD155"/>
    <x v="3"/>
    <x v="2"/>
    <x v="0"/>
    <x v="27"/>
    <n v="25000"/>
    <n v="75000"/>
  </r>
  <r>
    <x v="29"/>
    <s v="ORD156"/>
    <x v="3"/>
    <x v="3"/>
    <x v="2"/>
    <x v="41"/>
    <n v="15000"/>
    <n v="375000"/>
  </r>
  <r>
    <x v="86"/>
    <s v="ORD157"/>
    <x v="1"/>
    <x v="2"/>
    <x v="7"/>
    <x v="3"/>
    <n v="50000"/>
    <n v="300000"/>
  </r>
  <r>
    <x v="32"/>
    <s v="ORD158"/>
    <x v="3"/>
    <x v="0"/>
    <x v="1"/>
    <x v="10"/>
    <n v="30000"/>
    <n v="960000"/>
  </r>
  <r>
    <x v="107"/>
    <s v="ORD159"/>
    <x v="1"/>
    <x v="1"/>
    <x v="6"/>
    <x v="13"/>
    <n v="800"/>
    <n v="24800"/>
  </r>
  <r>
    <x v="108"/>
    <s v="ORD160"/>
    <x v="1"/>
    <x v="0"/>
    <x v="4"/>
    <x v="33"/>
    <n v="1200"/>
    <n v="57600"/>
  </r>
  <r>
    <x v="109"/>
    <s v="ORD161"/>
    <x v="1"/>
    <x v="2"/>
    <x v="8"/>
    <x v="34"/>
    <n v="50000"/>
    <n v="2200000"/>
  </r>
  <r>
    <x v="35"/>
    <s v="ORD162"/>
    <x v="1"/>
    <x v="3"/>
    <x v="7"/>
    <x v="29"/>
    <n v="25000"/>
    <n v="475000"/>
  </r>
  <r>
    <x v="110"/>
    <s v="ORD163"/>
    <x v="0"/>
    <x v="0"/>
    <x v="8"/>
    <x v="10"/>
    <n v="25000"/>
    <n v="800000"/>
  </r>
  <r>
    <x v="92"/>
    <s v="ORD164"/>
    <x v="3"/>
    <x v="3"/>
    <x v="4"/>
    <x v="18"/>
    <n v="25000"/>
    <n v="500000"/>
  </r>
  <r>
    <x v="91"/>
    <s v="ORD165"/>
    <x v="2"/>
    <x v="3"/>
    <x v="0"/>
    <x v="19"/>
    <n v="15000"/>
    <n v="60000"/>
  </r>
  <r>
    <x v="111"/>
    <s v="ORD166"/>
    <x v="1"/>
    <x v="0"/>
    <x v="2"/>
    <x v="18"/>
    <n v="30000"/>
    <n v="600000"/>
  </r>
  <r>
    <x v="112"/>
    <s v="ORD167"/>
    <x v="0"/>
    <x v="3"/>
    <x v="9"/>
    <x v="18"/>
    <n v="1200"/>
    <n v="24000"/>
  </r>
  <r>
    <x v="113"/>
    <s v="ORD168"/>
    <x v="0"/>
    <x v="2"/>
    <x v="4"/>
    <x v="11"/>
    <n v="15000"/>
    <n v="180000"/>
  </r>
  <r>
    <x v="114"/>
    <s v="ORD169"/>
    <x v="0"/>
    <x v="2"/>
    <x v="2"/>
    <x v="0"/>
    <n v="30000"/>
    <n v="810000"/>
  </r>
  <r>
    <x v="3"/>
    <s v="ORD170"/>
    <x v="3"/>
    <x v="3"/>
    <x v="2"/>
    <x v="24"/>
    <n v="50000"/>
    <n v="2150000"/>
  </r>
  <r>
    <x v="75"/>
    <s v="ORD171"/>
    <x v="2"/>
    <x v="0"/>
    <x v="9"/>
    <x v="37"/>
    <n v="30000"/>
    <n v="150000"/>
  </r>
  <r>
    <x v="115"/>
    <s v="ORD172"/>
    <x v="0"/>
    <x v="3"/>
    <x v="5"/>
    <x v="17"/>
    <n v="50000"/>
    <n v="900000"/>
  </r>
  <r>
    <x v="35"/>
    <s v="ORD173"/>
    <x v="1"/>
    <x v="2"/>
    <x v="6"/>
    <x v="20"/>
    <n v="30000"/>
    <n v="390000"/>
  </r>
  <r>
    <x v="31"/>
    <s v="ORD174"/>
    <x v="0"/>
    <x v="1"/>
    <x v="9"/>
    <x v="32"/>
    <n v="30000"/>
    <n v="420000"/>
  </r>
  <r>
    <x v="116"/>
    <s v="ORD175"/>
    <x v="2"/>
    <x v="1"/>
    <x v="8"/>
    <x v="6"/>
    <n v="30000"/>
    <n v="1500000"/>
  </r>
  <r>
    <x v="117"/>
    <s v="ORD176"/>
    <x v="3"/>
    <x v="2"/>
    <x v="1"/>
    <x v="3"/>
    <n v="800"/>
    <n v="4800"/>
  </r>
  <r>
    <x v="21"/>
    <s v="ORD177"/>
    <x v="3"/>
    <x v="0"/>
    <x v="1"/>
    <x v="28"/>
    <n v="800"/>
    <n v="23200"/>
  </r>
  <r>
    <x v="118"/>
    <s v="ORD178"/>
    <x v="1"/>
    <x v="2"/>
    <x v="6"/>
    <x v="11"/>
    <n v="25000"/>
    <n v="300434"/>
  </r>
  <r>
    <x v="119"/>
    <s v="ORD179"/>
    <x v="2"/>
    <x v="0"/>
    <x v="4"/>
    <x v="47"/>
    <n v="25000"/>
    <n v="700343"/>
  </r>
  <r>
    <x v="66"/>
    <s v="ORD180"/>
    <x v="0"/>
    <x v="3"/>
    <x v="1"/>
    <x v="47"/>
    <n v="30000"/>
    <n v="840000"/>
  </r>
  <r>
    <x v="30"/>
    <s v="ORD181"/>
    <x v="3"/>
    <x v="0"/>
    <x v="2"/>
    <x v="35"/>
    <n v="800"/>
    <n v="12000"/>
  </r>
  <r>
    <x v="36"/>
    <s v="ORD182"/>
    <x v="3"/>
    <x v="0"/>
    <x v="2"/>
    <x v="10"/>
    <n v="800"/>
    <n v="25600"/>
  </r>
  <r>
    <x v="0"/>
    <s v="ORD183"/>
    <x v="0"/>
    <x v="3"/>
    <x v="9"/>
    <x v="21"/>
    <n v="1200"/>
    <n v="25200"/>
  </r>
  <r>
    <x v="120"/>
    <s v="ORD184"/>
    <x v="3"/>
    <x v="3"/>
    <x v="4"/>
    <x v="47"/>
    <n v="25000"/>
    <n v="700000"/>
  </r>
  <r>
    <x v="30"/>
    <s v="ORD185"/>
    <x v="3"/>
    <x v="1"/>
    <x v="6"/>
    <x v="1"/>
    <n v="15000"/>
    <n v="450000"/>
  </r>
  <r>
    <x v="121"/>
    <s v="ORD186"/>
    <x v="3"/>
    <x v="1"/>
    <x v="6"/>
    <x v="0"/>
    <n v="30000"/>
    <n v="810000"/>
  </r>
  <r>
    <x v="122"/>
    <s v="ORD187"/>
    <x v="3"/>
    <x v="1"/>
    <x v="7"/>
    <x v="27"/>
    <n v="30000"/>
    <n v="90000"/>
  </r>
  <r>
    <x v="123"/>
    <s v="ORD188"/>
    <x v="0"/>
    <x v="3"/>
    <x v="6"/>
    <x v="24"/>
    <n v="1200"/>
    <n v="51600"/>
  </r>
  <r>
    <x v="7"/>
    <s v="ORD189"/>
    <x v="2"/>
    <x v="2"/>
    <x v="5"/>
    <x v="0"/>
    <n v="1200"/>
    <n v="32400"/>
  </r>
  <r>
    <x v="124"/>
    <s v="ORD190"/>
    <x v="1"/>
    <x v="2"/>
    <x v="1"/>
    <x v="22"/>
    <n v="50000"/>
    <n v="2450000"/>
  </r>
  <r>
    <x v="125"/>
    <s v="ORD191"/>
    <x v="1"/>
    <x v="1"/>
    <x v="6"/>
    <x v="41"/>
    <n v="25000"/>
    <n v="625000"/>
  </r>
  <r>
    <x v="126"/>
    <s v="ORD192"/>
    <x v="1"/>
    <x v="2"/>
    <x v="9"/>
    <x v="16"/>
    <n v="15000"/>
    <n v="525000"/>
  </r>
  <r>
    <x v="127"/>
    <s v="ORD193"/>
    <x v="3"/>
    <x v="2"/>
    <x v="6"/>
    <x v="14"/>
    <n v="800"/>
    <n v="19200"/>
  </r>
  <r>
    <x v="0"/>
    <s v="ORD194"/>
    <x v="2"/>
    <x v="2"/>
    <x v="0"/>
    <x v="5"/>
    <n v="1200"/>
    <n v="19200"/>
  </r>
  <r>
    <x v="48"/>
    <s v="ORD195"/>
    <x v="1"/>
    <x v="2"/>
    <x v="7"/>
    <x v="29"/>
    <n v="30000"/>
    <n v="570000"/>
  </r>
  <r>
    <x v="36"/>
    <s v="ORD196"/>
    <x v="3"/>
    <x v="2"/>
    <x v="9"/>
    <x v="11"/>
    <n v="800"/>
    <n v="9600"/>
  </r>
  <r>
    <x v="58"/>
    <s v="ORD197"/>
    <x v="3"/>
    <x v="3"/>
    <x v="3"/>
    <x v="2"/>
    <n v="1200"/>
    <n v="27600"/>
  </r>
  <r>
    <x v="103"/>
    <s v="ORD198"/>
    <x v="0"/>
    <x v="1"/>
    <x v="0"/>
    <x v="37"/>
    <n v="1200"/>
    <n v="6000"/>
  </r>
  <r>
    <x v="51"/>
    <s v="ORD199"/>
    <x v="1"/>
    <x v="0"/>
    <x v="1"/>
    <x v="34"/>
    <n v="1200"/>
    <n v="52800"/>
  </r>
  <r>
    <x v="11"/>
    <s v="ORD200"/>
    <x v="2"/>
    <x v="1"/>
    <x v="2"/>
    <x v="45"/>
    <n v="25000"/>
    <n v="11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1948B6-F59B-4961-B7EE-538633AE6E25}" name="PivotTable7" cacheId="7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P4:Q10" firstHeaderRow="1" firstDataRow="1" firstDataCol="1"/>
  <pivotFields count="8">
    <pivotField compact="0" numFmtId="14" outline="0" showAll="0"/>
    <pivotField compact="0" outline="0" showAll="0"/>
    <pivotField compact="0" outline="0" showAll="0"/>
    <pivotField axis="axisRow" dataField="1" compact="0" outline="0" showAll="0" sortType="descending">
      <items count="6">
        <item x="4"/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" outline="0" showAll="0"/>
    <pivotField compact="0" numFmtId="1" outline="0" showAll="0"/>
    <pivotField compact="0" numFmtId="1" outline="0" showAll="0"/>
  </pivotFields>
  <rowFields count="1">
    <field x="3"/>
  </rowFields>
  <rowItems count="6">
    <i>
      <x v="3"/>
    </i>
    <i>
      <x v="1"/>
    </i>
    <i>
      <x v="2"/>
    </i>
    <i>
      <x v="4"/>
    </i>
    <i>
      <x/>
    </i>
    <i t="grand">
      <x/>
    </i>
  </rowItems>
  <colItems count="1">
    <i/>
  </colItems>
  <dataFields count="1">
    <dataField name="Count of Region" fld="3" subtotal="count" baseField="0" baseItem="0"/>
  </dataFields>
  <formats count="6"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3" type="button" dataOnly="0" labelOnly="1" outline="0" axis="axisRow" fieldPosition="0"/>
    </format>
    <format dxfId="22">
      <pivotArea dataOnly="0" labelOnly="1" outline="0" fieldPosition="0">
        <references count="1">
          <reference field="3" count="0"/>
        </references>
      </pivotArea>
    </format>
    <format dxfId="23">
      <pivotArea dataOnly="0" labelOnly="1" grandRow="1" outline="0" fieldPosition="0"/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47CAED-953F-4906-A2E2-3C48F137CC91}" name="PivotTable1" cacheId="7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S4:U53" firstHeaderRow="1" firstDataRow="1" firstDataCol="2"/>
  <pivotFields count="8">
    <pivotField compact="0" numFmtId="14" outline="0" showAll="0"/>
    <pivotField compact="0" outline="0" showAll="0"/>
    <pivotField compact="0" outline="0" showAll="0"/>
    <pivotField axis="axisRow" compact="0" outline="0" showAll="0">
      <items count="6">
        <item sd="0" x="4"/>
        <item x="2"/>
        <item x="1"/>
        <item x="0"/>
        <item x="3"/>
        <item t="default"/>
      </items>
    </pivotField>
    <pivotField axis="axisRow" dataField="1" compact="0" outline="0" showAll="0" sortType="descending">
      <items count="12">
        <item x="6"/>
        <item x="1"/>
        <item x="5"/>
        <item x="8"/>
        <item x="3"/>
        <item x="9"/>
        <item x="4"/>
        <item x="0"/>
        <item x="2"/>
        <item x="7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" outline="0" showAll="0"/>
    <pivotField compact="0" numFmtId="1" outline="0" showAll="0"/>
    <pivotField compact="0" numFmtId="1" outline="0" showAll="0"/>
  </pivotFields>
  <rowFields count="2">
    <field x="3"/>
    <field x="4"/>
  </rowFields>
  <rowItems count="49">
    <i>
      <x/>
    </i>
    <i>
      <x v="1"/>
      <x v="9"/>
    </i>
    <i r="1">
      <x v="3"/>
    </i>
    <i r="1">
      <x v="5"/>
    </i>
    <i r="1">
      <x v="1"/>
    </i>
    <i r="1">
      <x v="2"/>
    </i>
    <i r="1">
      <x v="7"/>
    </i>
    <i r="1">
      <x v="6"/>
    </i>
    <i r="1">
      <x v="8"/>
    </i>
    <i r="1">
      <x v="4"/>
    </i>
    <i r="1">
      <x v="10"/>
    </i>
    <i t="default">
      <x v="1"/>
    </i>
    <i>
      <x v="2"/>
      <x v="9"/>
    </i>
    <i r="1">
      <x v="6"/>
    </i>
    <i r="1">
      <x v="7"/>
    </i>
    <i r="1">
      <x v="8"/>
    </i>
    <i r="1">
      <x v="2"/>
    </i>
    <i r="1">
      <x v="1"/>
    </i>
    <i r="1">
      <x v="5"/>
    </i>
    <i r="1">
      <x v="10"/>
    </i>
    <i r="1">
      <x v="3"/>
    </i>
    <i r="1">
      <x v="4"/>
    </i>
    <i r="1">
      <x/>
    </i>
    <i t="default">
      <x v="2"/>
    </i>
    <i>
      <x v="3"/>
      <x v="8"/>
    </i>
    <i r="1">
      <x v="10"/>
    </i>
    <i r="1">
      <x v="6"/>
    </i>
    <i r="1">
      <x v="4"/>
    </i>
    <i r="1">
      <x v="5"/>
    </i>
    <i r="1">
      <x v="3"/>
    </i>
    <i r="1">
      <x v="1"/>
    </i>
    <i r="1">
      <x v="7"/>
    </i>
    <i r="1">
      <x v="2"/>
    </i>
    <i r="1">
      <x/>
    </i>
    <i r="1">
      <x v="9"/>
    </i>
    <i t="default">
      <x v="3"/>
    </i>
    <i>
      <x v="4"/>
      <x v="8"/>
    </i>
    <i r="1">
      <x v="9"/>
    </i>
    <i r="1">
      <x v="2"/>
    </i>
    <i r="1">
      <x v="10"/>
    </i>
    <i r="1">
      <x v="4"/>
    </i>
    <i r="1">
      <x v="6"/>
    </i>
    <i r="1">
      <x/>
    </i>
    <i r="1">
      <x v="7"/>
    </i>
    <i r="1">
      <x v="1"/>
    </i>
    <i r="1">
      <x v="3"/>
    </i>
    <i r="1">
      <x v="5"/>
    </i>
    <i t="default">
      <x v="4"/>
    </i>
    <i t="grand">
      <x/>
    </i>
  </rowItems>
  <colItems count="1">
    <i/>
  </colItems>
  <dataFields count="1">
    <dataField name="Count of Sales Rep" fld="4" subtotal="count" baseField="0" baseItem="0"/>
  </dataFields>
  <formats count="12">
    <format dxfId="7">
      <pivotArea type="all" dataOnly="0" outline="0" fieldPosition="0"/>
    </format>
    <format dxfId="8">
      <pivotArea outline="0" collapsedLevelsAreSubtotals="1" fieldPosition="0"/>
    </format>
    <format dxfId="9">
      <pivotArea field="3" type="button" dataOnly="0" labelOnly="1" outline="0" axis="axisRow" fieldPosition="0"/>
    </format>
    <format dxfId="10">
      <pivotArea field="4" type="button" dataOnly="0" labelOnly="1" outline="0" axis="axisRow" fieldPosition="1"/>
    </format>
    <format dxfId="11">
      <pivotArea dataOnly="0" labelOnly="1" outline="0" fieldPosition="0">
        <references count="1">
          <reference field="3" count="0"/>
        </references>
      </pivotArea>
    </format>
    <format dxfId="12">
      <pivotArea dataOnly="0" labelOnly="1" outline="0" fieldPosition="0">
        <references count="1">
          <reference field="3" count="4" defaultSubtotal="1">
            <x v="1"/>
            <x v="2"/>
            <x v="3"/>
            <x v="4"/>
          </reference>
        </references>
      </pivotArea>
    </format>
    <format dxfId="13">
      <pivotArea dataOnly="0" labelOnly="1" grandRow="1" outline="0" fieldPosition="0"/>
    </format>
    <format dxfId="14">
      <pivotArea dataOnly="0" labelOnly="1" outline="0" fieldPosition="0">
        <references count="2">
          <reference field="3" count="1" selected="0">
            <x v="1"/>
          </reference>
          <reference field="4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5">
      <pivotArea dataOnly="0" labelOnly="1" outline="0" fieldPosition="0">
        <references count="2">
          <reference field="3" count="1" selected="0">
            <x v="2"/>
          </reference>
          <reference field="4" count="0"/>
        </references>
      </pivotArea>
    </format>
    <format dxfId="16">
      <pivotArea dataOnly="0" labelOnly="1" outline="0" fieldPosition="0">
        <references count="2">
          <reference field="3" count="1" selected="0">
            <x v="3"/>
          </reference>
          <reference field="4" count="0"/>
        </references>
      </pivotArea>
    </format>
    <format dxfId="17">
      <pivotArea dataOnly="0" labelOnly="1" outline="0" fieldPosition="0">
        <references count="2">
          <reference field="3" count="1" selected="0">
            <x v="4"/>
          </reference>
          <reference field="4" count="0"/>
        </references>
      </pivotArea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DDA22-216B-4A68-AC65-AEB8C192DBA6}" name="Salesperson" cacheId="74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F13:H19" firstHeaderRow="0" firstDataRow="1" firstDataCol="1"/>
  <pivotFields count="8">
    <pivotField compact="0" numFmtId="14" outline="0" showAll="0"/>
    <pivotField compact="0" outline="0" showAll="0"/>
    <pivotField compact="0" outline="0" showAll="0">
      <items count="5">
        <item x="1"/>
        <item x="0"/>
        <item x="3"/>
        <item x="2"/>
        <item t="default"/>
      </items>
    </pivotField>
    <pivotField compact="0" outline="0" showAll="0">
      <items count="5">
        <item x="2"/>
        <item x="1"/>
        <item x="0"/>
        <item x="3"/>
        <item t="default"/>
      </items>
    </pivotField>
    <pivotField axis="axisRow" compact="0" outline="0" showAll="0" measureFilter="1" sortType="descending">
      <items count="11">
        <item x="1"/>
        <item x="5"/>
        <item x="7"/>
        <item x="3"/>
        <item x="8"/>
        <item x="4"/>
        <item x="0"/>
        <item x="2"/>
        <item x="6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" outline="0" showAll="0"/>
    <pivotField compact="0" numFmtId="1" outline="0" showAll="0"/>
    <pivotField dataField="1" compact="0" numFmtId="1" outline="0" showAll="0"/>
  </pivotFields>
  <rowFields count="1">
    <field x="4"/>
  </rowFields>
  <rowItems count="6">
    <i>
      <x v="7"/>
    </i>
    <i>
      <x v="8"/>
    </i>
    <i>
      <x v="5"/>
    </i>
    <i>
      <x/>
    </i>
    <i>
      <x v="1"/>
    </i>
    <i>
      <x v="4"/>
    </i>
  </rowItems>
  <colFields count="1">
    <field x="-2"/>
  </colFields>
  <colItems count="2">
    <i>
      <x/>
    </i>
    <i i="1">
      <x v="1"/>
    </i>
  </colItems>
  <dataFields count="2">
    <dataField name="Sum of Units Sold" fld="5" baseField="0" baseItem="0" numFmtId="1"/>
    <dataField name="Sum of Total Sales" fld="7" baseField="0" baseItem="0" numFmtId="1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12" showRowHeaders="1" showColHeaders="1" showRowStripes="0" showColStripes="0" showLastColumn="1"/>
  <filters count="1">
    <filter fld="4" type="count" evalOrder="-1" id="3" iMeasureFld="0">
      <autoFilter ref="A1">
        <filterColumn colId="0">
          <top10 val="6" filterVal="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C951D-FFFD-45A4-80D1-E52EAE461BCA}" name="Product" cacheId="7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B13:D18" firstHeaderRow="0" firstDataRow="1" firstDataCol="1"/>
  <pivotFields count="8">
    <pivotField compact="0" numFmtId="14" outline="0" showAll="0"/>
    <pivotField compact="0" outline="0" showAll="0"/>
    <pivotField axis="axisRow" compact="0" outline="0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dataField="1" compact="0" numFmtId="1" outline="0" showAll="0">
      <items count="50">
        <item x="42"/>
        <item x="38"/>
        <item x="27"/>
        <item x="19"/>
        <item x="37"/>
        <item x="3"/>
        <item x="15"/>
        <item x="36"/>
        <item x="43"/>
        <item x="23"/>
        <item x="44"/>
        <item x="11"/>
        <item x="20"/>
        <item x="32"/>
        <item x="35"/>
        <item x="5"/>
        <item x="26"/>
        <item x="17"/>
        <item x="29"/>
        <item x="18"/>
        <item x="21"/>
        <item x="48"/>
        <item x="2"/>
        <item x="14"/>
        <item x="41"/>
        <item x="12"/>
        <item x="0"/>
        <item x="47"/>
        <item x="28"/>
        <item x="1"/>
        <item x="13"/>
        <item x="10"/>
        <item x="40"/>
        <item x="39"/>
        <item x="16"/>
        <item x="25"/>
        <item x="7"/>
        <item x="46"/>
        <item x="8"/>
        <item x="9"/>
        <item x="31"/>
        <item x="24"/>
        <item x="34"/>
        <item x="4"/>
        <item x="45"/>
        <item x="30"/>
        <item x="33"/>
        <item x="22"/>
        <item x="6"/>
        <item t="default"/>
      </items>
    </pivotField>
    <pivotField compact="0" numFmtId="1" outline="0" showAll="0"/>
    <pivotField dataField="1" compact="0" numFmtId="1" outline="0" showAll="0"/>
  </pivotFields>
  <rowFields count="1">
    <field x="2"/>
  </rowFields>
  <rowItems count="5">
    <i>
      <x/>
    </i>
    <i>
      <x v="3"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 Sold" fld="5" baseField="0" baseItem="0" numFmtId="1"/>
    <dataField name="Sum of Total Sales" fld="7" baseField="0" baseItem="0" numFmtId="1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</chartFormats>
  <pivotTableStyleInfo name="PivotStyleDark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0E397-FE46-4D3C-9D01-46A17A5610D9}" name="date" cacheId="74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">
  <location ref="K13:L18" firstHeaderRow="1" firstDataRow="1" firstDataCol="1"/>
  <pivotFields count="8">
    <pivotField axis="axisRow" compact="0" numFmtId="14" outline="0" showAll="0" measureFilter="1" sortType="descending">
      <items count="129">
        <item x="57"/>
        <item x="72"/>
        <item x="96"/>
        <item x="8"/>
        <item x="74"/>
        <item x="60"/>
        <item x="69"/>
        <item x="93"/>
        <item x="71"/>
        <item x="125"/>
        <item x="62"/>
        <item x="89"/>
        <item x="23"/>
        <item x="45"/>
        <item x="113"/>
        <item x="34"/>
        <item x="107"/>
        <item x="26"/>
        <item x="65"/>
        <item x="50"/>
        <item x="95"/>
        <item x="91"/>
        <item x="63"/>
        <item x="3"/>
        <item x="102"/>
        <item x="22"/>
        <item x="106"/>
        <item x="67"/>
        <item x="48"/>
        <item x="99"/>
        <item x="44"/>
        <item x="4"/>
        <item x="5"/>
        <item x="84"/>
        <item x="54"/>
        <item x="41"/>
        <item x="109"/>
        <item x="114"/>
        <item x="108"/>
        <item x="2"/>
        <item x="76"/>
        <item x="117"/>
        <item x="97"/>
        <item x="24"/>
        <item x="42"/>
        <item x="17"/>
        <item x="10"/>
        <item x="47"/>
        <item x="80"/>
        <item x="53"/>
        <item x="16"/>
        <item x="94"/>
        <item x="119"/>
        <item x="12"/>
        <item x="87"/>
        <item x="83"/>
        <item x="104"/>
        <item x="112"/>
        <item x="118"/>
        <item x="105"/>
        <item x="7"/>
        <item x="120"/>
        <item x="1"/>
        <item x="85"/>
        <item x="82"/>
        <item x="39"/>
        <item x="90"/>
        <item x="100"/>
        <item x="64"/>
        <item x="103"/>
        <item x="116"/>
        <item x="33"/>
        <item x="55"/>
        <item x="14"/>
        <item x="11"/>
        <item x="92"/>
        <item x="124"/>
        <item x="0"/>
        <item x="35"/>
        <item x="58"/>
        <item x="66"/>
        <item x="59"/>
        <item x="68"/>
        <item x="30"/>
        <item x="126"/>
        <item x="40"/>
        <item x="98"/>
        <item x="18"/>
        <item x="29"/>
        <item x="52"/>
        <item x="101"/>
        <item x="13"/>
        <item x="32"/>
        <item x="46"/>
        <item x="6"/>
        <item x="49"/>
        <item x="79"/>
        <item x="19"/>
        <item x="51"/>
        <item x="25"/>
        <item x="110"/>
        <item x="122"/>
        <item x="20"/>
        <item x="31"/>
        <item x="61"/>
        <item x="21"/>
        <item x="86"/>
        <item x="37"/>
        <item x="43"/>
        <item x="78"/>
        <item x="28"/>
        <item x="75"/>
        <item x="36"/>
        <item x="27"/>
        <item x="115"/>
        <item x="9"/>
        <item x="15"/>
        <item x="77"/>
        <item x="123"/>
        <item x="56"/>
        <item x="70"/>
        <item x="111"/>
        <item x="73"/>
        <item x="127"/>
        <item x="88"/>
        <item x="121"/>
        <item x="81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numFmtId="1" outline="0" showAll="0"/>
    <pivotField compact="0" numFmtId="1" outline="0" showAll="0"/>
    <pivotField dataField="1" compact="0" numFmtId="1" outline="0" showAll="0"/>
  </pivotFields>
  <rowFields count="1">
    <field x="0"/>
  </rowFields>
  <rowItems count="5">
    <i>
      <x v="120"/>
    </i>
    <i>
      <x v="28"/>
    </i>
    <i>
      <x v="78"/>
    </i>
    <i>
      <x v="53"/>
    </i>
    <i>
      <x v="27"/>
    </i>
  </rowItems>
  <colItems count="1">
    <i/>
  </colItems>
  <dataFields count="1">
    <dataField name="Sum of Total Sales" fld="7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2" showRowHeaders="1" showColHeaders="1" showRowStripes="0" showColStripes="0" showLastColumn="1"/>
  <filters count="1">
    <filter fld="0" type="count" evalOrder="-1" id="16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5A2FE98E-8AA4-47FD-81C4-5F98E3166B4E}" sourceName="Region">
  <pivotTables>
    <pivotTable tabId="4" name="Product"/>
    <pivotTable tabId="4" name="Salesperson"/>
    <pivotTable tabId="4" name="date"/>
  </pivotTables>
  <data>
    <tabular pivotCacheId="1125227871">
      <items count="4">
        <i x="2" s="1"/>
        <i x="1" s="1"/>
        <i x="0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4BA6F1B-28D6-4062-9DD0-1D51186B0150}" sourceName="Product">
  <pivotTables>
    <pivotTable tabId="4" name="Salesperson"/>
  </pivotTables>
  <data>
    <tabular pivotCacheId="1125227871">
      <items count="4">
        <i x="1" s="1"/>
        <i x="0" s="1"/>
        <i x="3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ABDBC15D-1CD3-485E-960C-2D25AD60F753}" cache="Slicer_Region" caption="Region" columnCount="4" showCaption="0" rowHeight="361950"/>
  <slicer name="Product" xr10:uid="{9265565B-6409-4205-96E3-E94BF9D0F7DA}" cache="Slicer_Product" caption="Product" showCaption="0" rowHeight="22860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01"/>
  <sheetViews>
    <sheetView workbookViewId="0">
      <selection activeCell="J9" sqref="J9"/>
    </sheetView>
  </sheetViews>
  <sheetFormatPr defaultRowHeight="15"/>
  <cols>
    <col min="1" max="1" width="14.7109375" customWidth="1"/>
    <col min="2" max="2" width="10.140625" customWidth="1"/>
    <col min="3" max="3" width="11.42578125" customWidth="1"/>
    <col min="4" max="4" width="10.140625" customWidth="1"/>
    <col min="5" max="5" width="10.28515625" customWidth="1"/>
    <col min="7" max="7" width="10.7109375" customWidth="1"/>
    <col min="8" max="8" width="10.85546875" customWidth="1"/>
    <col min="10" max="10" width="17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27</v>
      </c>
      <c r="G2">
        <v>1200</v>
      </c>
      <c r="H2">
        <v>32400</v>
      </c>
    </row>
    <row r="3" spans="1:10">
      <c r="A3" t="s">
        <v>13</v>
      </c>
      <c r="B3" t="s">
        <v>14</v>
      </c>
      <c r="C3" t="s">
        <v>15</v>
      </c>
      <c r="D3" t="s">
        <v>11</v>
      </c>
      <c r="E3" t="s">
        <v>16</v>
      </c>
      <c r="F3">
        <v>30</v>
      </c>
      <c r="G3">
        <v>25000</v>
      </c>
      <c r="H3">
        <v>750000</v>
      </c>
    </row>
    <row r="4" spans="1:10">
      <c r="A4" t="s">
        <v>17</v>
      </c>
      <c r="B4" t="s">
        <v>18</v>
      </c>
      <c r="C4" t="s">
        <v>19</v>
      </c>
      <c r="D4" t="s">
        <v>11</v>
      </c>
      <c r="E4" t="s">
        <v>20</v>
      </c>
      <c r="F4">
        <v>23</v>
      </c>
      <c r="G4">
        <v>25000</v>
      </c>
      <c r="H4">
        <v>575000</v>
      </c>
    </row>
    <row r="5" spans="1:10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6</v>
      </c>
      <c r="G5">
        <v>800</v>
      </c>
      <c r="H5">
        <v>4800</v>
      </c>
    </row>
    <row r="6" spans="1:10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45</v>
      </c>
      <c r="G6">
        <v>30000</v>
      </c>
      <c r="H6">
        <v>1350000</v>
      </c>
    </row>
    <row r="7" spans="1:10">
      <c r="A7" t="s">
        <v>31</v>
      </c>
      <c r="B7" t="s">
        <v>32</v>
      </c>
      <c r="C7" t="s">
        <v>15</v>
      </c>
      <c r="D7" t="s">
        <v>24</v>
      </c>
      <c r="E7" t="s">
        <v>33</v>
      </c>
      <c r="F7">
        <v>23</v>
      </c>
      <c r="G7">
        <v>1200</v>
      </c>
      <c r="H7">
        <v>27600</v>
      </c>
    </row>
    <row r="8" spans="1:10">
      <c r="A8" t="s">
        <v>34</v>
      </c>
      <c r="B8" t="s">
        <v>35</v>
      </c>
      <c r="C8" t="s">
        <v>19</v>
      </c>
      <c r="D8" t="s">
        <v>11</v>
      </c>
      <c r="F8">
        <v>16</v>
      </c>
      <c r="G8">
        <v>800</v>
      </c>
      <c r="H8">
        <v>12800</v>
      </c>
      <c r="J8" t="str">
        <f>PROPER(TRIM(E8))</f>
        <v/>
      </c>
    </row>
    <row r="9" spans="1:10">
      <c r="A9" t="s">
        <v>36</v>
      </c>
      <c r="B9" t="s">
        <v>37</v>
      </c>
      <c r="C9" t="s">
        <v>23</v>
      </c>
      <c r="D9" t="s">
        <v>24</v>
      </c>
      <c r="E9" t="s">
        <v>38</v>
      </c>
      <c r="F9">
        <v>50</v>
      </c>
      <c r="G9">
        <v>50000</v>
      </c>
      <c r="H9">
        <v>2500000</v>
      </c>
    </row>
    <row r="10" spans="1:10">
      <c r="A10" t="s">
        <v>39</v>
      </c>
      <c r="B10" t="s">
        <v>40</v>
      </c>
      <c r="C10" t="s">
        <v>15</v>
      </c>
      <c r="D10" t="s">
        <v>24</v>
      </c>
      <c r="E10" t="s">
        <v>41</v>
      </c>
      <c r="F10">
        <v>37</v>
      </c>
      <c r="G10">
        <v>15000</v>
      </c>
      <c r="H10">
        <v>555000</v>
      </c>
    </row>
    <row r="11" spans="1:10">
      <c r="A11" t="s">
        <v>42</v>
      </c>
      <c r="B11" t="s">
        <v>43</v>
      </c>
      <c r="C11" t="s">
        <v>10</v>
      </c>
      <c r="D11" t="s">
        <v>11</v>
      </c>
      <c r="E11" t="s">
        <v>25</v>
      </c>
      <c r="F11">
        <v>40</v>
      </c>
      <c r="G11">
        <v>800</v>
      </c>
      <c r="H11">
        <v>32000</v>
      </c>
    </row>
    <row r="12" spans="1:10">
      <c r="A12" t="s">
        <v>44</v>
      </c>
      <c r="B12" t="s">
        <v>45</v>
      </c>
      <c r="C12" t="s">
        <v>23</v>
      </c>
      <c r="D12" t="s">
        <v>29</v>
      </c>
      <c r="E12" t="s">
        <v>46</v>
      </c>
      <c r="F12">
        <v>41</v>
      </c>
      <c r="G12">
        <v>800</v>
      </c>
      <c r="H12">
        <v>32800</v>
      </c>
    </row>
    <row r="13" spans="1:10">
      <c r="A13" t="s">
        <v>47</v>
      </c>
      <c r="B13" t="s">
        <v>48</v>
      </c>
      <c r="C13" t="s">
        <v>15</v>
      </c>
      <c r="D13" t="s">
        <v>29</v>
      </c>
      <c r="E13" t="s">
        <v>46</v>
      </c>
      <c r="F13">
        <v>27</v>
      </c>
      <c r="G13">
        <v>50000</v>
      </c>
      <c r="H13">
        <v>1350000</v>
      </c>
    </row>
    <row r="14" spans="1:10">
      <c r="A14" t="s">
        <v>49</v>
      </c>
      <c r="B14" t="s">
        <v>50</v>
      </c>
      <c r="C14" t="s">
        <v>15</v>
      </c>
      <c r="D14" t="s">
        <v>51</v>
      </c>
      <c r="E14" t="s">
        <v>52</v>
      </c>
      <c r="F14">
        <v>32</v>
      </c>
      <c r="G14">
        <v>25000</v>
      </c>
      <c r="H14">
        <v>799549</v>
      </c>
    </row>
    <row r="15" spans="1:10">
      <c r="A15" t="s">
        <v>26</v>
      </c>
      <c r="B15" t="s">
        <v>53</v>
      </c>
      <c r="C15" t="s">
        <v>54</v>
      </c>
      <c r="D15" t="s">
        <v>24</v>
      </c>
      <c r="E15" t="s">
        <v>38</v>
      </c>
      <c r="F15">
        <v>12</v>
      </c>
      <c r="G15">
        <v>30000</v>
      </c>
      <c r="H15">
        <v>360000</v>
      </c>
    </row>
    <row r="16" spans="1:10">
      <c r="A16" t="s">
        <v>55</v>
      </c>
      <c r="B16" t="s">
        <v>56</v>
      </c>
      <c r="C16" t="s">
        <v>57</v>
      </c>
      <c r="D16" t="s">
        <v>51</v>
      </c>
      <c r="E16" t="s">
        <v>58</v>
      </c>
      <c r="F16">
        <v>26</v>
      </c>
      <c r="G16">
        <v>25000</v>
      </c>
      <c r="H16">
        <v>650000</v>
      </c>
    </row>
    <row r="17" spans="1:8">
      <c r="A17" t="s">
        <v>59</v>
      </c>
      <c r="B17" t="s">
        <v>60</v>
      </c>
      <c r="C17" t="s">
        <v>15</v>
      </c>
      <c r="D17" t="s">
        <v>29</v>
      </c>
      <c r="E17" t="s">
        <v>61</v>
      </c>
      <c r="F17">
        <v>41</v>
      </c>
      <c r="G17">
        <v>50000</v>
      </c>
      <c r="H17">
        <v>2050000</v>
      </c>
    </row>
    <row r="18" spans="1:8">
      <c r="A18" t="s">
        <v>62</v>
      </c>
      <c r="B18" t="s">
        <v>63</v>
      </c>
      <c r="C18" t="s">
        <v>15</v>
      </c>
      <c r="D18" t="s">
        <v>51</v>
      </c>
      <c r="E18" t="s">
        <v>38</v>
      </c>
      <c r="F18">
        <v>31</v>
      </c>
      <c r="G18">
        <v>1200</v>
      </c>
      <c r="H18">
        <v>37200</v>
      </c>
    </row>
    <row r="19" spans="1:8">
      <c r="A19" t="s">
        <v>64</v>
      </c>
      <c r="B19" t="s">
        <v>65</v>
      </c>
      <c r="C19" t="s">
        <v>23</v>
      </c>
      <c r="D19" t="s">
        <v>29</v>
      </c>
      <c r="E19" t="s">
        <v>12</v>
      </c>
      <c r="F19">
        <v>32</v>
      </c>
      <c r="G19">
        <v>1200</v>
      </c>
      <c r="H19">
        <v>38400</v>
      </c>
    </row>
    <row r="20" spans="1:8">
      <c r="A20" t="s">
        <v>66</v>
      </c>
      <c r="B20" t="s">
        <v>67</v>
      </c>
      <c r="C20" t="s">
        <v>15</v>
      </c>
      <c r="D20" t="s">
        <v>24</v>
      </c>
      <c r="E20" t="s">
        <v>61</v>
      </c>
      <c r="F20">
        <v>24</v>
      </c>
      <c r="G20">
        <v>50000</v>
      </c>
      <c r="H20">
        <v>1200000</v>
      </c>
    </row>
    <row r="21" spans="1:8">
      <c r="A21" t="s">
        <v>68</v>
      </c>
      <c r="B21" t="s">
        <v>69</v>
      </c>
      <c r="C21" t="s">
        <v>19</v>
      </c>
      <c r="D21" t="s">
        <v>29</v>
      </c>
      <c r="E21" t="s">
        <v>25</v>
      </c>
      <c r="F21">
        <v>31</v>
      </c>
      <c r="G21">
        <v>50000</v>
      </c>
      <c r="H21">
        <v>1550000</v>
      </c>
    </row>
    <row r="22" spans="1:8">
      <c r="A22" t="s">
        <v>70</v>
      </c>
      <c r="B22" t="s">
        <v>71</v>
      </c>
      <c r="C22" t="s">
        <v>15</v>
      </c>
      <c r="D22" t="s">
        <v>11</v>
      </c>
      <c r="E22" t="s">
        <v>72</v>
      </c>
      <c r="F22">
        <v>7</v>
      </c>
      <c r="G22">
        <v>15000</v>
      </c>
      <c r="H22">
        <v>105000</v>
      </c>
    </row>
    <row r="23" spans="1:8">
      <c r="A23" t="s">
        <v>73</v>
      </c>
      <c r="B23" t="s">
        <v>74</v>
      </c>
      <c r="C23" t="s">
        <v>54</v>
      </c>
      <c r="D23" t="s">
        <v>29</v>
      </c>
      <c r="E23" t="s">
        <v>58</v>
      </c>
      <c r="F23">
        <v>35</v>
      </c>
      <c r="G23">
        <v>800</v>
      </c>
      <c r="H23">
        <v>28000</v>
      </c>
    </row>
    <row r="24" spans="1:8">
      <c r="A24" t="s">
        <v>75</v>
      </c>
      <c r="B24" t="s">
        <v>76</v>
      </c>
      <c r="C24" t="s">
        <v>19</v>
      </c>
      <c r="D24" t="s">
        <v>51</v>
      </c>
      <c r="E24" t="s">
        <v>38</v>
      </c>
      <c r="F24">
        <v>18</v>
      </c>
      <c r="G24">
        <v>1200</v>
      </c>
      <c r="H24">
        <v>21600</v>
      </c>
    </row>
    <row r="25" spans="1:8">
      <c r="A25" t="s">
        <v>77</v>
      </c>
      <c r="B25" t="s">
        <v>78</v>
      </c>
      <c r="C25" t="s">
        <v>23</v>
      </c>
      <c r="D25" t="s">
        <v>51</v>
      </c>
      <c r="E25" t="s">
        <v>38</v>
      </c>
      <c r="F25">
        <v>45</v>
      </c>
      <c r="G25">
        <v>25000</v>
      </c>
      <c r="H25">
        <v>1125000</v>
      </c>
    </row>
    <row r="26" spans="1:8">
      <c r="A26" t="s">
        <v>79</v>
      </c>
      <c r="B26" t="s">
        <v>80</v>
      </c>
      <c r="C26" t="s">
        <v>10</v>
      </c>
      <c r="D26" t="s">
        <v>11</v>
      </c>
      <c r="E26" t="s">
        <v>61</v>
      </c>
      <c r="F26">
        <v>20</v>
      </c>
      <c r="G26">
        <v>800</v>
      </c>
      <c r="H26">
        <v>16000</v>
      </c>
    </row>
    <row r="27" spans="1:8">
      <c r="A27" t="s">
        <v>81</v>
      </c>
      <c r="B27" t="s">
        <v>82</v>
      </c>
      <c r="C27" t="s">
        <v>19</v>
      </c>
      <c r="D27" t="s">
        <v>29</v>
      </c>
      <c r="E27" t="s">
        <v>16</v>
      </c>
      <c r="F27">
        <v>30</v>
      </c>
      <c r="G27">
        <v>25000</v>
      </c>
      <c r="H27">
        <v>750000</v>
      </c>
    </row>
    <row r="28" spans="1:8">
      <c r="A28" t="s">
        <v>83</v>
      </c>
      <c r="B28" t="s">
        <v>84</v>
      </c>
      <c r="C28" t="s">
        <v>10</v>
      </c>
      <c r="D28" t="s">
        <v>11</v>
      </c>
      <c r="E28" t="s">
        <v>85</v>
      </c>
      <c r="F28">
        <v>4</v>
      </c>
      <c r="G28">
        <v>25000</v>
      </c>
      <c r="H28">
        <v>100000</v>
      </c>
    </row>
    <row r="29" spans="1:8">
      <c r="A29" t="s">
        <v>86</v>
      </c>
      <c r="B29" t="s">
        <v>87</v>
      </c>
      <c r="C29" t="s">
        <v>19</v>
      </c>
      <c r="D29" t="s">
        <v>29</v>
      </c>
      <c r="E29" t="s">
        <v>38</v>
      </c>
      <c r="F29">
        <v>37</v>
      </c>
      <c r="G29">
        <v>50000</v>
      </c>
      <c r="H29">
        <v>1850000</v>
      </c>
    </row>
    <row r="30" spans="1:8">
      <c r="A30" t="s">
        <v>88</v>
      </c>
      <c r="B30" t="s">
        <v>89</v>
      </c>
      <c r="C30" t="s">
        <v>23</v>
      </c>
      <c r="D30" t="s">
        <v>24</v>
      </c>
      <c r="E30" t="s">
        <v>16</v>
      </c>
      <c r="F30">
        <v>13</v>
      </c>
      <c r="G30">
        <v>30000</v>
      </c>
      <c r="H30">
        <v>390000</v>
      </c>
    </row>
    <row r="31" spans="1:8">
      <c r="A31" t="s">
        <v>90</v>
      </c>
      <c r="B31" t="s">
        <v>91</v>
      </c>
      <c r="C31" t="s">
        <v>23</v>
      </c>
      <c r="D31" t="s">
        <v>24</v>
      </c>
      <c r="E31" t="s">
        <v>20</v>
      </c>
      <c r="F31">
        <v>23</v>
      </c>
      <c r="G31">
        <v>1200</v>
      </c>
      <c r="H31">
        <v>27600</v>
      </c>
    </row>
    <row r="32" spans="1:8">
      <c r="A32" t="s">
        <v>92</v>
      </c>
      <c r="B32" t="s">
        <v>93</v>
      </c>
      <c r="C32" t="s">
        <v>19</v>
      </c>
      <c r="D32" t="s">
        <v>24</v>
      </c>
      <c r="E32" t="s">
        <v>30</v>
      </c>
      <c r="F32">
        <v>31</v>
      </c>
      <c r="G32">
        <v>50000</v>
      </c>
      <c r="H32">
        <v>1550000</v>
      </c>
    </row>
    <row r="33" spans="1:8">
      <c r="A33" t="s">
        <v>94</v>
      </c>
      <c r="B33" t="s">
        <v>95</v>
      </c>
      <c r="C33" t="s">
        <v>57</v>
      </c>
      <c r="D33" t="s">
        <v>11</v>
      </c>
      <c r="E33" t="s">
        <v>85</v>
      </c>
      <c r="F33">
        <v>24</v>
      </c>
      <c r="G33">
        <v>25000</v>
      </c>
      <c r="H33">
        <v>600000</v>
      </c>
    </row>
    <row r="34" spans="1:8">
      <c r="A34" t="s">
        <v>96</v>
      </c>
      <c r="B34" t="s">
        <v>97</v>
      </c>
      <c r="C34" t="s">
        <v>15</v>
      </c>
      <c r="D34" t="s">
        <v>11</v>
      </c>
      <c r="E34" t="s">
        <v>33</v>
      </c>
      <c r="F34">
        <v>32</v>
      </c>
      <c r="G34">
        <v>25000</v>
      </c>
      <c r="H34">
        <v>800000</v>
      </c>
    </row>
    <row r="35" spans="1:8">
      <c r="A35" t="s">
        <v>98</v>
      </c>
      <c r="B35" t="s">
        <v>99</v>
      </c>
      <c r="C35" t="s">
        <v>19</v>
      </c>
      <c r="D35" t="s">
        <v>11</v>
      </c>
      <c r="E35" t="s">
        <v>72</v>
      </c>
      <c r="F35">
        <v>21</v>
      </c>
      <c r="G35">
        <v>15000</v>
      </c>
      <c r="H35">
        <v>315000</v>
      </c>
    </row>
    <row r="36" spans="1:8">
      <c r="A36" t="s">
        <v>100</v>
      </c>
      <c r="B36" t="s">
        <v>101</v>
      </c>
      <c r="C36" t="s">
        <v>15</v>
      </c>
      <c r="D36" t="s">
        <v>29</v>
      </c>
      <c r="E36" t="s">
        <v>33</v>
      </c>
      <c r="F36">
        <v>49</v>
      </c>
      <c r="G36">
        <v>1200</v>
      </c>
      <c r="H36">
        <v>58800</v>
      </c>
    </row>
    <row r="37" spans="1:8">
      <c r="A37" t="s">
        <v>102</v>
      </c>
      <c r="B37" t="s">
        <v>103</v>
      </c>
      <c r="C37" t="s">
        <v>10</v>
      </c>
      <c r="D37" t="s">
        <v>24</v>
      </c>
      <c r="E37" t="s">
        <v>46</v>
      </c>
      <c r="F37">
        <v>10</v>
      </c>
      <c r="G37">
        <v>15000</v>
      </c>
      <c r="H37">
        <v>150000</v>
      </c>
    </row>
    <row r="38" spans="1:8">
      <c r="A38" t="s">
        <v>104</v>
      </c>
      <c r="B38" t="s">
        <v>105</v>
      </c>
      <c r="C38" t="s">
        <v>15</v>
      </c>
      <c r="D38" t="s">
        <v>24</v>
      </c>
      <c r="E38" t="s">
        <v>30</v>
      </c>
      <c r="F38">
        <v>43</v>
      </c>
      <c r="G38">
        <v>50000</v>
      </c>
      <c r="H38">
        <v>2150000</v>
      </c>
    </row>
    <row r="39" spans="1:8">
      <c r="A39" t="s">
        <v>106</v>
      </c>
      <c r="B39" t="s">
        <v>107</v>
      </c>
      <c r="C39" t="s">
        <v>15</v>
      </c>
      <c r="D39" t="s">
        <v>51</v>
      </c>
      <c r="E39" t="s">
        <v>38</v>
      </c>
      <c r="F39">
        <v>36</v>
      </c>
      <c r="G39">
        <v>1200</v>
      </c>
      <c r="H39">
        <v>43200</v>
      </c>
    </row>
    <row r="40" spans="1:8">
      <c r="A40" t="s">
        <v>108</v>
      </c>
      <c r="B40" t="s">
        <v>109</v>
      </c>
      <c r="C40" t="s">
        <v>10</v>
      </c>
      <c r="D40" t="s">
        <v>24</v>
      </c>
      <c r="E40" t="s">
        <v>30</v>
      </c>
      <c r="F40">
        <v>17</v>
      </c>
      <c r="G40">
        <v>25000</v>
      </c>
      <c r="H40">
        <v>425000</v>
      </c>
    </row>
    <row r="41" spans="1:8">
      <c r="A41" t="s">
        <v>110</v>
      </c>
      <c r="B41" t="s">
        <v>111</v>
      </c>
      <c r="C41" t="s">
        <v>23</v>
      </c>
      <c r="D41" t="s">
        <v>51</v>
      </c>
      <c r="E41" t="s">
        <v>25</v>
      </c>
      <c r="F41">
        <v>16</v>
      </c>
      <c r="G41">
        <v>50000</v>
      </c>
      <c r="H41">
        <v>800000</v>
      </c>
    </row>
    <row r="42" spans="1:8">
      <c r="A42" t="s">
        <v>112</v>
      </c>
      <c r="B42" t="s">
        <v>113</v>
      </c>
      <c r="C42" t="s">
        <v>10</v>
      </c>
      <c r="D42" t="s">
        <v>51</v>
      </c>
      <c r="F42">
        <v>30</v>
      </c>
      <c r="G42">
        <v>800</v>
      </c>
      <c r="H42">
        <v>24000</v>
      </c>
    </row>
    <row r="43" spans="1:8">
      <c r="A43" t="s">
        <v>114</v>
      </c>
      <c r="B43" t="s">
        <v>115</v>
      </c>
      <c r="C43" t="s">
        <v>116</v>
      </c>
      <c r="E43" t="s">
        <v>117</v>
      </c>
      <c r="F43">
        <v>3</v>
      </c>
      <c r="G43">
        <v>800</v>
      </c>
      <c r="H43">
        <v>2400</v>
      </c>
    </row>
    <row r="44" spans="1:8">
      <c r="A44" t="s">
        <v>118</v>
      </c>
      <c r="B44" t="s">
        <v>119</v>
      </c>
      <c r="C44" t="s">
        <v>10</v>
      </c>
      <c r="D44" t="s">
        <v>24</v>
      </c>
      <c r="E44" t="s">
        <v>16</v>
      </c>
      <c r="F44">
        <v>40</v>
      </c>
      <c r="G44">
        <v>25000</v>
      </c>
      <c r="H44">
        <v>1000000</v>
      </c>
    </row>
    <row r="45" spans="1:8">
      <c r="A45" t="s">
        <v>120</v>
      </c>
      <c r="B45" t="s">
        <v>121</v>
      </c>
      <c r="C45" t="s">
        <v>23</v>
      </c>
      <c r="D45" t="s">
        <v>11</v>
      </c>
      <c r="E45" t="s">
        <v>58</v>
      </c>
      <c r="F45">
        <v>7</v>
      </c>
      <c r="G45">
        <v>30000</v>
      </c>
      <c r="H45">
        <v>210000</v>
      </c>
    </row>
    <row r="46" spans="1:8">
      <c r="A46" t="s">
        <v>122</v>
      </c>
      <c r="B46" t="s">
        <v>123</v>
      </c>
      <c r="C46" t="s">
        <v>28</v>
      </c>
      <c r="D46" t="s">
        <v>29</v>
      </c>
      <c r="E46" t="s">
        <v>30</v>
      </c>
      <c r="F46">
        <v>13</v>
      </c>
      <c r="G46">
        <v>30000</v>
      </c>
      <c r="H46">
        <v>390000</v>
      </c>
    </row>
    <row r="47" spans="1:8">
      <c r="A47" t="s">
        <v>124</v>
      </c>
      <c r="B47" t="s">
        <v>125</v>
      </c>
      <c r="C47" t="s">
        <v>23</v>
      </c>
      <c r="D47" t="s">
        <v>11</v>
      </c>
      <c r="E47" t="s">
        <v>12</v>
      </c>
      <c r="F47">
        <v>29</v>
      </c>
      <c r="G47">
        <v>1200</v>
      </c>
      <c r="H47">
        <v>34800</v>
      </c>
    </row>
    <row r="48" spans="1:8">
      <c r="A48" t="s">
        <v>126</v>
      </c>
      <c r="B48" t="s">
        <v>127</v>
      </c>
      <c r="C48" t="s">
        <v>57</v>
      </c>
      <c r="D48" t="s">
        <v>51</v>
      </c>
      <c r="E48" t="s">
        <v>30</v>
      </c>
      <c r="F48">
        <v>45</v>
      </c>
      <c r="G48">
        <v>30000</v>
      </c>
      <c r="H48">
        <v>1350000</v>
      </c>
    </row>
    <row r="49" spans="1:8">
      <c r="A49" t="s">
        <v>128</v>
      </c>
      <c r="B49" t="s">
        <v>129</v>
      </c>
      <c r="C49" t="s">
        <v>10</v>
      </c>
      <c r="D49" t="s">
        <v>11</v>
      </c>
      <c r="E49" t="s">
        <v>72</v>
      </c>
      <c r="F49">
        <v>45</v>
      </c>
      <c r="G49">
        <v>15000</v>
      </c>
      <c r="H49">
        <v>675000</v>
      </c>
    </row>
    <row r="50" spans="1:8">
      <c r="A50" t="s">
        <v>130</v>
      </c>
      <c r="B50" t="s">
        <v>131</v>
      </c>
      <c r="C50" t="s">
        <v>15</v>
      </c>
      <c r="D50" t="s">
        <v>11</v>
      </c>
      <c r="E50" t="s">
        <v>20</v>
      </c>
      <c r="F50">
        <v>19</v>
      </c>
      <c r="G50">
        <v>800</v>
      </c>
      <c r="H50">
        <v>15200</v>
      </c>
    </row>
    <row r="51" spans="1:8">
      <c r="A51" t="s">
        <v>132</v>
      </c>
      <c r="B51" t="s">
        <v>133</v>
      </c>
      <c r="C51" t="s">
        <v>19</v>
      </c>
      <c r="D51" t="s">
        <v>51</v>
      </c>
      <c r="E51" t="s">
        <v>12</v>
      </c>
      <c r="F51">
        <v>47</v>
      </c>
      <c r="G51">
        <v>25000</v>
      </c>
      <c r="H51">
        <v>1175000</v>
      </c>
    </row>
    <row r="52" spans="1:8">
      <c r="A52" t="s">
        <v>134</v>
      </c>
      <c r="B52" t="s">
        <v>135</v>
      </c>
      <c r="C52" t="s">
        <v>23</v>
      </c>
      <c r="D52" t="s">
        <v>29</v>
      </c>
      <c r="E52" t="s">
        <v>33</v>
      </c>
      <c r="F52">
        <v>10</v>
      </c>
      <c r="G52">
        <v>800</v>
      </c>
      <c r="H52">
        <v>7346</v>
      </c>
    </row>
    <row r="53" spans="1:8">
      <c r="A53" t="s">
        <v>136</v>
      </c>
      <c r="B53" t="s">
        <v>137</v>
      </c>
      <c r="C53" t="s">
        <v>10</v>
      </c>
      <c r="E53" t="s">
        <v>16</v>
      </c>
      <c r="F53">
        <v>42</v>
      </c>
      <c r="G53">
        <v>15000</v>
      </c>
      <c r="H53">
        <v>630000</v>
      </c>
    </row>
    <row r="54" spans="1:8">
      <c r="A54" t="s">
        <v>36</v>
      </c>
      <c r="B54" t="s">
        <v>138</v>
      </c>
      <c r="C54" t="s">
        <v>23</v>
      </c>
      <c r="D54" t="s">
        <v>51</v>
      </c>
      <c r="E54" t="s">
        <v>61</v>
      </c>
      <c r="F54">
        <v>19</v>
      </c>
      <c r="G54">
        <v>800</v>
      </c>
      <c r="H54">
        <v>15200</v>
      </c>
    </row>
    <row r="55" spans="1:8">
      <c r="A55" t="s">
        <v>139</v>
      </c>
      <c r="B55" t="s">
        <v>140</v>
      </c>
      <c r="C55" t="s">
        <v>15</v>
      </c>
      <c r="F55">
        <v>49</v>
      </c>
      <c r="G55">
        <v>50000</v>
      </c>
      <c r="H55">
        <v>2450000</v>
      </c>
    </row>
    <row r="56" spans="1:8">
      <c r="A56" t="s">
        <v>141</v>
      </c>
      <c r="B56" t="s">
        <v>142</v>
      </c>
      <c r="C56" t="s">
        <v>143</v>
      </c>
      <c r="D56" t="s">
        <v>29</v>
      </c>
      <c r="E56" t="s">
        <v>12</v>
      </c>
      <c r="F56">
        <v>14</v>
      </c>
      <c r="G56">
        <v>15000</v>
      </c>
      <c r="H56">
        <v>210000</v>
      </c>
    </row>
    <row r="57" spans="1:8">
      <c r="A57" t="s">
        <v>144</v>
      </c>
      <c r="B57" t="s">
        <v>145</v>
      </c>
      <c r="C57" t="s">
        <v>23</v>
      </c>
      <c r="D57" t="s">
        <v>51</v>
      </c>
      <c r="E57" t="s">
        <v>20</v>
      </c>
      <c r="F57">
        <v>10</v>
      </c>
      <c r="G57">
        <v>1200</v>
      </c>
      <c r="H57">
        <v>12000</v>
      </c>
    </row>
    <row r="58" spans="1:8">
      <c r="A58" t="s">
        <v>146</v>
      </c>
      <c r="B58" t="s">
        <v>147</v>
      </c>
      <c r="C58" t="s">
        <v>19</v>
      </c>
      <c r="D58" t="s">
        <v>24</v>
      </c>
      <c r="E58" t="s">
        <v>20</v>
      </c>
      <c r="F58">
        <v>24</v>
      </c>
      <c r="G58">
        <v>30000</v>
      </c>
      <c r="H58">
        <v>720000</v>
      </c>
    </row>
    <row r="59" spans="1:8">
      <c r="A59" t="s">
        <v>148</v>
      </c>
      <c r="B59" t="s">
        <v>149</v>
      </c>
      <c r="C59" t="s">
        <v>10</v>
      </c>
      <c r="D59" t="s">
        <v>51</v>
      </c>
      <c r="E59" t="s">
        <v>20</v>
      </c>
      <c r="F59">
        <v>23</v>
      </c>
      <c r="G59">
        <v>25000</v>
      </c>
      <c r="H59">
        <v>575000</v>
      </c>
    </row>
    <row r="60" spans="1:8">
      <c r="A60" t="s">
        <v>21</v>
      </c>
      <c r="B60" t="s">
        <v>150</v>
      </c>
      <c r="C60" t="s">
        <v>10</v>
      </c>
      <c r="D60" t="s">
        <v>51</v>
      </c>
      <c r="E60" t="s">
        <v>72</v>
      </c>
      <c r="F60">
        <v>7</v>
      </c>
      <c r="G60">
        <v>25000</v>
      </c>
      <c r="H60">
        <v>175000</v>
      </c>
    </row>
    <row r="61" spans="1:8">
      <c r="A61" t="s">
        <v>151</v>
      </c>
      <c r="B61" t="s">
        <v>152</v>
      </c>
      <c r="C61" t="s">
        <v>19</v>
      </c>
      <c r="E61" t="s">
        <v>38</v>
      </c>
      <c r="F61">
        <v>48</v>
      </c>
      <c r="G61">
        <v>25000</v>
      </c>
      <c r="H61">
        <v>1200000</v>
      </c>
    </row>
    <row r="62" spans="1:8">
      <c r="A62" t="s">
        <v>153</v>
      </c>
      <c r="B62" t="s">
        <v>154</v>
      </c>
      <c r="C62" t="s">
        <v>23</v>
      </c>
      <c r="D62" t="s">
        <v>51</v>
      </c>
      <c r="E62" t="s">
        <v>20</v>
      </c>
      <c r="F62">
        <v>14</v>
      </c>
      <c r="G62">
        <v>1200</v>
      </c>
      <c r="H62">
        <v>16800</v>
      </c>
    </row>
    <row r="63" spans="1:8">
      <c r="A63" t="s">
        <v>155</v>
      </c>
      <c r="B63" t="s">
        <v>156</v>
      </c>
      <c r="C63" t="s">
        <v>54</v>
      </c>
      <c r="D63" t="s">
        <v>24</v>
      </c>
      <c r="E63" t="s">
        <v>30</v>
      </c>
      <c r="F63">
        <v>21</v>
      </c>
      <c r="G63">
        <v>30000</v>
      </c>
      <c r="H63">
        <v>630000</v>
      </c>
    </row>
    <row r="64" spans="1:8">
      <c r="A64" t="s">
        <v>157</v>
      </c>
      <c r="B64" t="s">
        <v>158</v>
      </c>
      <c r="C64" t="s">
        <v>57</v>
      </c>
      <c r="D64" t="s">
        <v>24</v>
      </c>
      <c r="E64" t="s">
        <v>33</v>
      </c>
      <c r="F64">
        <v>31</v>
      </c>
      <c r="G64">
        <v>1200</v>
      </c>
      <c r="H64">
        <v>37200</v>
      </c>
    </row>
    <row r="65" spans="1:8">
      <c r="A65" t="s">
        <v>132</v>
      </c>
      <c r="B65" t="s">
        <v>159</v>
      </c>
      <c r="C65" t="s">
        <v>23</v>
      </c>
      <c r="D65" t="s">
        <v>51</v>
      </c>
      <c r="E65" t="s">
        <v>20</v>
      </c>
      <c r="F65">
        <v>44</v>
      </c>
      <c r="G65">
        <v>30000</v>
      </c>
      <c r="H65">
        <v>1320000</v>
      </c>
    </row>
    <row r="66" spans="1:8">
      <c r="A66" t="s">
        <v>160</v>
      </c>
      <c r="B66" t="s">
        <v>161</v>
      </c>
      <c r="C66" t="s">
        <v>23</v>
      </c>
      <c r="D66" t="s">
        <v>11</v>
      </c>
      <c r="E66" t="s">
        <v>25</v>
      </c>
      <c r="F66">
        <v>15</v>
      </c>
      <c r="G66">
        <v>30000</v>
      </c>
      <c r="H66">
        <v>450000</v>
      </c>
    </row>
    <row r="67" spans="1:8">
      <c r="A67" t="s">
        <v>162</v>
      </c>
      <c r="B67" t="s">
        <v>163</v>
      </c>
      <c r="C67" t="s">
        <v>19</v>
      </c>
      <c r="D67" t="s">
        <v>11</v>
      </c>
      <c r="E67" t="s">
        <v>38</v>
      </c>
      <c r="F67">
        <v>8</v>
      </c>
      <c r="G67">
        <v>15000</v>
      </c>
      <c r="H67">
        <v>120000</v>
      </c>
    </row>
    <row r="68" spans="1:8">
      <c r="A68" t="s">
        <v>164</v>
      </c>
      <c r="B68" t="s">
        <v>165</v>
      </c>
      <c r="C68" t="s">
        <v>116</v>
      </c>
      <c r="D68" t="s">
        <v>11</v>
      </c>
      <c r="E68" t="s">
        <v>61</v>
      </c>
      <c r="F68">
        <v>5</v>
      </c>
      <c r="G68">
        <v>25000</v>
      </c>
      <c r="H68">
        <v>125000</v>
      </c>
    </row>
    <row r="69" spans="1:8">
      <c r="A69" t="s">
        <v>166</v>
      </c>
      <c r="B69" t="s">
        <v>167</v>
      </c>
      <c r="C69" t="s">
        <v>10</v>
      </c>
      <c r="E69" t="s">
        <v>25</v>
      </c>
      <c r="F69">
        <v>27</v>
      </c>
      <c r="G69">
        <v>15000</v>
      </c>
      <c r="H69">
        <v>405000</v>
      </c>
    </row>
    <row r="70" spans="1:8">
      <c r="A70" t="s">
        <v>168</v>
      </c>
      <c r="B70" t="s">
        <v>169</v>
      </c>
      <c r="C70" t="s">
        <v>15</v>
      </c>
      <c r="D70" t="s">
        <v>11</v>
      </c>
      <c r="E70" t="s">
        <v>46</v>
      </c>
      <c r="F70">
        <v>17</v>
      </c>
      <c r="G70">
        <v>25000</v>
      </c>
      <c r="H70">
        <v>425000</v>
      </c>
    </row>
    <row r="71" spans="1:8">
      <c r="A71" t="s">
        <v>170</v>
      </c>
      <c r="B71" t="s">
        <v>171</v>
      </c>
      <c r="C71" t="s">
        <v>23</v>
      </c>
      <c r="D71" t="s">
        <v>11</v>
      </c>
      <c r="E71" t="s">
        <v>61</v>
      </c>
      <c r="F71">
        <v>8</v>
      </c>
      <c r="G71">
        <v>25000</v>
      </c>
      <c r="H71">
        <v>200000</v>
      </c>
    </row>
    <row r="72" spans="1:8">
      <c r="A72" t="s">
        <v>172</v>
      </c>
      <c r="B72" t="s">
        <v>173</v>
      </c>
      <c r="C72" t="s">
        <v>10</v>
      </c>
      <c r="D72" t="s">
        <v>11</v>
      </c>
      <c r="E72" t="s">
        <v>61</v>
      </c>
      <c r="F72">
        <v>2</v>
      </c>
      <c r="G72">
        <v>50000</v>
      </c>
      <c r="H72">
        <v>100000</v>
      </c>
    </row>
    <row r="73" spans="1:8">
      <c r="A73" t="s">
        <v>174</v>
      </c>
      <c r="B73" t="s">
        <v>175</v>
      </c>
      <c r="C73" t="s">
        <v>176</v>
      </c>
      <c r="E73" t="s">
        <v>20</v>
      </c>
      <c r="F73">
        <v>40</v>
      </c>
      <c r="G73">
        <v>1200</v>
      </c>
      <c r="H73">
        <v>48000</v>
      </c>
    </row>
    <row r="74" spans="1:8">
      <c r="A74" t="s">
        <v>177</v>
      </c>
      <c r="B74" t="s">
        <v>178</v>
      </c>
      <c r="C74" t="s">
        <v>10</v>
      </c>
      <c r="D74" t="s">
        <v>51</v>
      </c>
      <c r="E74" t="s">
        <v>72</v>
      </c>
      <c r="F74">
        <v>34</v>
      </c>
      <c r="G74">
        <v>800</v>
      </c>
      <c r="H74">
        <v>27200</v>
      </c>
    </row>
    <row r="75" spans="1:8">
      <c r="A75" t="s">
        <v>179</v>
      </c>
      <c r="B75" t="s">
        <v>180</v>
      </c>
      <c r="C75" t="s">
        <v>23</v>
      </c>
      <c r="D75" t="s">
        <v>29</v>
      </c>
      <c r="E75" t="s">
        <v>38</v>
      </c>
      <c r="F75">
        <v>33</v>
      </c>
      <c r="G75">
        <v>25000</v>
      </c>
      <c r="H75">
        <v>825000</v>
      </c>
    </row>
    <row r="76" spans="1:8">
      <c r="A76" t="s">
        <v>181</v>
      </c>
      <c r="B76" t="s">
        <v>182</v>
      </c>
      <c r="C76" t="s">
        <v>15</v>
      </c>
      <c r="D76" t="s">
        <v>24</v>
      </c>
      <c r="E76" t="s">
        <v>183</v>
      </c>
      <c r="F76">
        <v>34</v>
      </c>
      <c r="G76">
        <v>1200</v>
      </c>
      <c r="H76">
        <v>40800</v>
      </c>
    </row>
    <row r="77" spans="1:8">
      <c r="A77" t="s">
        <v>181</v>
      </c>
      <c r="B77" t="s">
        <v>184</v>
      </c>
      <c r="C77" t="s">
        <v>54</v>
      </c>
      <c r="D77" t="s">
        <v>29</v>
      </c>
      <c r="E77" t="s">
        <v>38</v>
      </c>
      <c r="F77">
        <v>6</v>
      </c>
      <c r="G77">
        <v>25000</v>
      </c>
      <c r="H77">
        <v>150000</v>
      </c>
    </row>
    <row r="78" spans="1:8">
      <c r="A78" t="s">
        <v>185</v>
      </c>
      <c r="B78" t="s">
        <v>186</v>
      </c>
      <c r="C78" t="s">
        <v>15</v>
      </c>
      <c r="D78" t="s">
        <v>29</v>
      </c>
      <c r="E78" t="s">
        <v>33</v>
      </c>
      <c r="F78">
        <v>5</v>
      </c>
      <c r="G78">
        <v>15000</v>
      </c>
      <c r="H78">
        <v>75000</v>
      </c>
    </row>
    <row r="79" spans="1:8">
      <c r="A79" t="s">
        <v>187</v>
      </c>
      <c r="B79" t="s">
        <v>188</v>
      </c>
      <c r="C79" t="s">
        <v>23</v>
      </c>
      <c r="D79" t="s">
        <v>11</v>
      </c>
      <c r="E79" t="s">
        <v>61</v>
      </c>
      <c r="F79">
        <v>23</v>
      </c>
      <c r="G79">
        <v>800</v>
      </c>
      <c r="H79">
        <v>18400</v>
      </c>
    </row>
    <row r="80" spans="1:8">
      <c r="A80" t="s">
        <v>189</v>
      </c>
      <c r="B80" t="s">
        <v>190</v>
      </c>
      <c r="C80" t="s">
        <v>15</v>
      </c>
      <c r="D80" t="s">
        <v>29</v>
      </c>
      <c r="E80" t="s">
        <v>20</v>
      </c>
      <c r="F80">
        <v>49</v>
      </c>
      <c r="G80">
        <v>50000</v>
      </c>
      <c r="H80">
        <v>2450000</v>
      </c>
    </row>
    <row r="81" spans="1:8">
      <c r="A81" t="s">
        <v>191</v>
      </c>
      <c r="B81" t="s">
        <v>192</v>
      </c>
      <c r="C81" t="s">
        <v>23</v>
      </c>
      <c r="D81" t="s">
        <v>24</v>
      </c>
      <c r="E81" t="s">
        <v>52</v>
      </c>
      <c r="F81">
        <v>47</v>
      </c>
      <c r="G81">
        <v>1200</v>
      </c>
      <c r="H81">
        <v>56400</v>
      </c>
    </row>
    <row r="82" spans="1:8">
      <c r="A82" t="s">
        <v>187</v>
      </c>
      <c r="B82" t="s">
        <v>193</v>
      </c>
      <c r="C82" t="s">
        <v>23</v>
      </c>
      <c r="D82" t="s">
        <v>29</v>
      </c>
      <c r="E82" t="s">
        <v>16</v>
      </c>
      <c r="F82">
        <v>25</v>
      </c>
      <c r="G82">
        <v>15000</v>
      </c>
      <c r="H82">
        <v>375000</v>
      </c>
    </row>
    <row r="83" spans="1:8">
      <c r="A83" t="s">
        <v>194</v>
      </c>
      <c r="B83" t="s">
        <v>195</v>
      </c>
      <c r="C83" t="s">
        <v>10</v>
      </c>
      <c r="D83" t="s">
        <v>29</v>
      </c>
      <c r="E83" t="s">
        <v>20</v>
      </c>
      <c r="F83">
        <v>41</v>
      </c>
      <c r="G83">
        <v>50000</v>
      </c>
      <c r="H83">
        <v>2050000</v>
      </c>
    </row>
    <row r="84" spans="1:8">
      <c r="A84" t="s">
        <v>196</v>
      </c>
      <c r="B84" t="s">
        <v>197</v>
      </c>
      <c r="C84" t="s">
        <v>10</v>
      </c>
      <c r="E84" t="s">
        <v>16</v>
      </c>
      <c r="F84">
        <v>40</v>
      </c>
      <c r="G84">
        <v>1200</v>
      </c>
      <c r="H84">
        <v>48000</v>
      </c>
    </row>
    <row r="85" spans="1:8">
      <c r="A85" t="s">
        <v>198</v>
      </c>
      <c r="B85" t="s">
        <v>199</v>
      </c>
      <c r="C85" t="s">
        <v>10</v>
      </c>
      <c r="D85" t="s">
        <v>24</v>
      </c>
      <c r="E85" t="s">
        <v>33</v>
      </c>
      <c r="F85">
        <v>19</v>
      </c>
      <c r="G85">
        <v>1200</v>
      </c>
      <c r="H85">
        <v>22800</v>
      </c>
    </row>
    <row r="86" spans="1:8">
      <c r="A86" t="s">
        <v>185</v>
      </c>
      <c r="B86" t="s">
        <v>200</v>
      </c>
      <c r="C86" t="s">
        <v>54</v>
      </c>
      <c r="D86" t="s">
        <v>51</v>
      </c>
      <c r="E86" t="s">
        <v>72</v>
      </c>
      <c r="F86">
        <v>26</v>
      </c>
      <c r="G86">
        <v>50000</v>
      </c>
      <c r="H86">
        <v>1300000</v>
      </c>
    </row>
    <row r="87" spans="1:8">
      <c r="A87" t="s">
        <v>201</v>
      </c>
      <c r="B87" t="s">
        <v>202</v>
      </c>
      <c r="C87" t="s">
        <v>10</v>
      </c>
      <c r="D87" t="s">
        <v>11</v>
      </c>
      <c r="E87" t="s">
        <v>30</v>
      </c>
      <c r="F87">
        <v>1</v>
      </c>
      <c r="G87">
        <v>50000</v>
      </c>
      <c r="H87">
        <v>50000</v>
      </c>
    </row>
    <row r="88" spans="1:8">
      <c r="A88" t="s">
        <v>203</v>
      </c>
      <c r="B88" t="s">
        <v>204</v>
      </c>
      <c r="C88" t="s">
        <v>143</v>
      </c>
      <c r="D88" t="s">
        <v>11</v>
      </c>
      <c r="E88" t="s">
        <v>25</v>
      </c>
      <c r="F88">
        <v>43</v>
      </c>
      <c r="G88">
        <v>800</v>
      </c>
      <c r="H88">
        <v>34400</v>
      </c>
    </row>
    <row r="89" spans="1:8">
      <c r="A89" t="s">
        <v>205</v>
      </c>
      <c r="B89" t="s">
        <v>206</v>
      </c>
      <c r="C89" t="s">
        <v>143</v>
      </c>
      <c r="D89" t="s">
        <v>11</v>
      </c>
      <c r="E89" t="s">
        <v>72</v>
      </c>
      <c r="F89">
        <v>6</v>
      </c>
      <c r="G89">
        <v>800</v>
      </c>
      <c r="H89">
        <v>4800</v>
      </c>
    </row>
    <row r="90" spans="1:8">
      <c r="A90" t="s">
        <v>207</v>
      </c>
      <c r="B90" t="s">
        <v>208</v>
      </c>
      <c r="C90" t="s">
        <v>209</v>
      </c>
      <c r="D90" t="s">
        <v>29</v>
      </c>
      <c r="E90" t="s">
        <v>61</v>
      </c>
      <c r="F90">
        <v>9</v>
      </c>
      <c r="G90">
        <v>50000</v>
      </c>
      <c r="H90">
        <v>450000</v>
      </c>
    </row>
    <row r="91" spans="1:8">
      <c r="A91" t="s">
        <v>210</v>
      </c>
      <c r="B91" t="s">
        <v>211</v>
      </c>
      <c r="C91" t="s">
        <v>176</v>
      </c>
      <c r="D91" t="s">
        <v>11</v>
      </c>
      <c r="E91" t="s">
        <v>46</v>
      </c>
      <c r="F91">
        <v>11</v>
      </c>
      <c r="G91">
        <v>800</v>
      </c>
      <c r="H91">
        <v>8800</v>
      </c>
    </row>
    <row r="92" spans="1:8">
      <c r="A92" t="s">
        <v>100</v>
      </c>
      <c r="B92" t="s">
        <v>212</v>
      </c>
      <c r="C92" t="s">
        <v>19</v>
      </c>
      <c r="D92" t="s">
        <v>24</v>
      </c>
      <c r="E92" t="s">
        <v>20</v>
      </c>
      <c r="F92">
        <v>46</v>
      </c>
      <c r="G92">
        <v>15000</v>
      </c>
      <c r="H92">
        <v>689245</v>
      </c>
    </row>
    <row r="93" spans="1:8">
      <c r="A93" t="s">
        <v>213</v>
      </c>
      <c r="B93" t="s">
        <v>214</v>
      </c>
      <c r="C93" t="s">
        <v>10</v>
      </c>
      <c r="D93" t="s">
        <v>51</v>
      </c>
      <c r="E93" t="s">
        <v>33</v>
      </c>
      <c r="F93">
        <v>12</v>
      </c>
      <c r="G93">
        <v>30000</v>
      </c>
      <c r="H93">
        <v>360000</v>
      </c>
    </row>
    <row r="94" spans="1:8">
      <c r="A94" t="s">
        <v>207</v>
      </c>
      <c r="B94" t="s">
        <v>215</v>
      </c>
      <c r="C94" t="s">
        <v>19</v>
      </c>
      <c r="D94" t="s">
        <v>51</v>
      </c>
      <c r="E94" t="s">
        <v>61</v>
      </c>
      <c r="F94">
        <v>10</v>
      </c>
      <c r="G94">
        <v>50000</v>
      </c>
      <c r="H94">
        <v>500000</v>
      </c>
    </row>
    <row r="95" spans="1:8">
      <c r="A95" t="s">
        <v>216</v>
      </c>
      <c r="B95" t="s">
        <v>217</v>
      </c>
      <c r="C95" t="s">
        <v>15</v>
      </c>
      <c r="D95" t="s">
        <v>24</v>
      </c>
      <c r="E95" t="s">
        <v>38</v>
      </c>
      <c r="F95">
        <v>42</v>
      </c>
      <c r="G95">
        <v>30000</v>
      </c>
      <c r="H95">
        <v>1260000</v>
      </c>
    </row>
    <row r="96" spans="1:8">
      <c r="A96" t="s">
        <v>218</v>
      </c>
      <c r="B96" t="s">
        <v>219</v>
      </c>
      <c r="C96" t="s">
        <v>15</v>
      </c>
      <c r="D96" t="s">
        <v>29</v>
      </c>
      <c r="E96" t="s">
        <v>33</v>
      </c>
      <c r="F96">
        <v>26</v>
      </c>
      <c r="G96">
        <v>50000</v>
      </c>
      <c r="H96">
        <v>1300000</v>
      </c>
    </row>
    <row r="97" spans="1:8">
      <c r="A97" t="s">
        <v>220</v>
      </c>
      <c r="B97" t="s">
        <v>221</v>
      </c>
      <c r="C97" t="s">
        <v>23</v>
      </c>
      <c r="D97" t="s">
        <v>24</v>
      </c>
      <c r="E97" t="s">
        <v>33</v>
      </c>
      <c r="F97">
        <v>38</v>
      </c>
      <c r="G97">
        <v>30000</v>
      </c>
      <c r="H97">
        <v>1140000</v>
      </c>
    </row>
    <row r="98" spans="1:8">
      <c r="A98" t="s">
        <v>222</v>
      </c>
      <c r="B98" t="s">
        <v>223</v>
      </c>
      <c r="C98" t="s">
        <v>19</v>
      </c>
      <c r="D98" t="s">
        <v>11</v>
      </c>
      <c r="E98" t="s">
        <v>20</v>
      </c>
      <c r="F98">
        <v>5</v>
      </c>
      <c r="G98">
        <v>1200</v>
      </c>
      <c r="H98">
        <v>6000</v>
      </c>
    </row>
    <row r="99" spans="1:8">
      <c r="A99" t="s">
        <v>224</v>
      </c>
      <c r="B99" t="s">
        <v>225</v>
      </c>
      <c r="C99" t="s">
        <v>15</v>
      </c>
      <c r="D99" t="s">
        <v>11</v>
      </c>
      <c r="E99" t="s">
        <v>20</v>
      </c>
      <c r="F99">
        <v>23</v>
      </c>
      <c r="G99">
        <v>50000</v>
      </c>
      <c r="H99">
        <v>1150000</v>
      </c>
    </row>
    <row r="100" spans="1:8">
      <c r="A100" t="s">
        <v>226</v>
      </c>
      <c r="B100" t="s">
        <v>227</v>
      </c>
      <c r="C100" t="s">
        <v>15</v>
      </c>
      <c r="D100" t="s">
        <v>11</v>
      </c>
      <c r="E100" t="s">
        <v>58</v>
      </c>
      <c r="F100">
        <v>21</v>
      </c>
      <c r="G100">
        <v>50000</v>
      </c>
      <c r="H100">
        <v>1050000</v>
      </c>
    </row>
    <row r="101" spans="1:8">
      <c r="A101" t="s">
        <v>189</v>
      </c>
      <c r="B101" t="s">
        <v>228</v>
      </c>
      <c r="C101" t="s">
        <v>23</v>
      </c>
      <c r="D101" t="s">
        <v>29</v>
      </c>
      <c r="E101" t="s">
        <v>30</v>
      </c>
      <c r="F101">
        <v>43</v>
      </c>
      <c r="G101">
        <v>15000</v>
      </c>
      <c r="H101">
        <v>644958</v>
      </c>
    </row>
    <row r="102" spans="1:8">
      <c r="A102" t="s">
        <v>229</v>
      </c>
      <c r="B102" t="s">
        <v>230</v>
      </c>
      <c r="C102" t="s">
        <v>19</v>
      </c>
      <c r="E102" t="s">
        <v>38</v>
      </c>
      <c r="F102">
        <v>28</v>
      </c>
      <c r="G102">
        <v>800</v>
      </c>
      <c r="H102">
        <v>22400</v>
      </c>
    </row>
    <row r="103" spans="1:8">
      <c r="A103" t="s">
        <v>231</v>
      </c>
      <c r="B103" t="s">
        <v>232</v>
      </c>
      <c r="C103" t="s">
        <v>15</v>
      </c>
      <c r="D103" t="s">
        <v>51</v>
      </c>
      <c r="E103" t="s">
        <v>33</v>
      </c>
      <c r="F103">
        <v>50</v>
      </c>
      <c r="G103">
        <v>1200</v>
      </c>
      <c r="H103">
        <v>60000</v>
      </c>
    </row>
    <row r="104" spans="1:8">
      <c r="A104" t="s">
        <v>233</v>
      </c>
      <c r="B104" t="s">
        <v>234</v>
      </c>
      <c r="C104" t="s">
        <v>10</v>
      </c>
      <c r="D104" t="s">
        <v>51</v>
      </c>
      <c r="E104" t="s">
        <v>33</v>
      </c>
      <c r="F104">
        <v>27</v>
      </c>
      <c r="G104">
        <v>30000</v>
      </c>
      <c r="H104">
        <v>810000</v>
      </c>
    </row>
    <row r="105" spans="1:8">
      <c r="A105" t="s">
        <v>235</v>
      </c>
      <c r="B105" t="s">
        <v>236</v>
      </c>
      <c r="C105" t="s">
        <v>10</v>
      </c>
      <c r="D105" t="s">
        <v>51</v>
      </c>
      <c r="E105" t="s">
        <v>25</v>
      </c>
      <c r="F105">
        <v>29</v>
      </c>
      <c r="G105">
        <v>1200</v>
      </c>
      <c r="H105">
        <v>34800</v>
      </c>
    </row>
    <row r="106" spans="1:8">
      <c r="A106" t="s">
        <v>237</v>
      </c>
      <c r="B106" t="s">
        <v>238</v>
      </c>
      <c r="C106" t="s">
        <v>116</v>
      </c>
      <c r="D106" t="s">
        <v>24</v>
      </c>
      <c r="E106" t="s">
        <v>38</v>
      </c>
      <c r="F106">
        <v>38</v>
      </c>
      <c r="G106">
        <v>30000</v>
      </c>
      <c r="H106">
        <v>1140000</v>
      </c>
    </row>
    <row r="107" spans="1:8">
      <c r="A107" t="s">
        <v>239</v>
      </c>
      <c r="B107" t="s">
        <v>240</v>
      </c>
      <c r="C107" t="s">
        <v>10</v>
      </c>
      <c r="D107" t="s">
        <v>29</v>
      </c>
      <c r="E107" t="s">
        <v>61</v>
      </c>
      <c r="F107">
        <v>23</v>
      </c>
      <c r="G107">
        <v>50000</v>
      </c>
      <c r="H107">
        <v>1150000</v>
      </c>
    </row>
    <row r="108" spans="1:8">
      <c r="A108" t="s">
        <v>241</v>
      </c>
      <c r="B108" t="s">
        <v>242</v>
      </c>
      <c r="C108" t="s">
        <v>19</v>
      </c>
      <c r="E108" t="s">
        <v>38</v>
      </c>
      <c r="F108">
        <v>13</v>
      </c>
      <c r="G108">
        <v>50000</v>
      </c>
      <c r="H108">
        <v>650000</v>
      </c>
    </row>
    <row r="109" spans="1:8">
      <c r="A109" t="s">
        <v>243</v>
      </c>
      <c r="B109" t="s">
        <v>244</v>
      </c>
      <c r="C109" t="s">
        <v>54</v>
      </c>
      <c r="D109" t="s">
        <v>11</v>
      </c>
      <c r="E109" t="s">
        <v>12</v>
      </c>
      <c r="F109">
        <v>26</v>
      </c>
      <c r="G109">
        <v>50000</v>
      </c>
      <c r="H109">
        <v>1300000</v>
      </c>
    </row>
    <row r="110" spans="1:8">
      <c r="A110" t="s">
        <v>245</v>
      </c>
      <c r="B110" t="s">
        <v>246</v>
      </c>
      <c r="C110" t="s">
        <v>15</v>
      </c>
      <c r="D110" t="s">
        <v>24</v>
      </c>
      <c r="E110" t="s">
        <v>30</v>
      </c>
      <c r="F110">
        <v>11</v>
      </c>
      <c r="G110">
        <v>50000</v>
      </c>
      <c r="H110">
        <v>550000</v>
      </c>
    </row>
    <row r="111" spans="1:8">
      <c r="A111" t="s">
        <v>247</v>
      </c>
      <c r="B111" t="s">
        <v>248</v>
      </c>
      <c r="C111" t="s">
        <v>176</v>
      </c>
      <c r="D111" t="s">
        <v>11</v>
      </c>
      <c r="E111" t="s">
        <v>72</v>
      </c>
      <c r="F111">
        <v>21</v>
      </c>
      <c r="G111">
        <v>800</v>
      </c>
      <c r="H111">
        <v>16800</v>
      </c>
    </row>
    <row r="112" spans="1:8">
      <c r="A112" t="s">
        <v>249</v>
      </c>
      <c r="B112" t="s">
        <v>250</v>
      </c>
      <c r="C112" t="s">
        <v>10</v>
      </c>
      <c r="D112" t="s">
        <v>51</v>
      </c>
      <c r="E112" t="s">
        <v>25</v>
      </c>
      <c r="F112">
        <v>27</v>
      </c>
      <c r="G112">
        <v>15000</v>
      </c>
      <c r="H112">
        <v>404238</v>
      </c>
    </row>
    <row r="113" spans="1:8">
      <c r="A113" t="s">
        <v>251</v>
      </c>
      <c r="B113" t="s">
        <v>252</v>
      </c>
      <c r="C113" t="s">
        <v>10</v>
      </c>
      <c r="D113" t="s">
        <v>29</v>
      </c>
      <c r="E113" t="s">
        <v>52</v>
      </c>
      <c r="F113">
        <v>14</v>
      </c>
      <c r="G113">
        <v>25000</v>
      </c>
      <c r="H113">
        <v>350000</v>
      </c>
    </row>
    <row r="114" spans="1:8">
      <c r="A114" t="s">
        <v>253</v>
      </c>
      <c r="B114" t="s">
        <v>254</v>
      </c>
      <c r="C114" t="s">
        <v>15</v>
      </c>
      <c r="D114" t="s">
        <v>11</v>
      </c>
      <c r="E114" t="s">
        <v>30</v>
      </c>
      <c r="F114">
        <v>40</v>
      </c>
      <c r="G114">
        <v>50000</v>
      </c>
      <c r="H114">
        <v>2000000</v>
      </c>
    </row>
    <row r="115" spans="1:8">
      <c r="A115" t="s">
        <v>255</v>
      </c>
      <c r="B115" t="s">
        <v>256</v>
      </c>
      <c r="C115" t="s">
        <v>19</v>
      </c>
      <c r="D115" t="s">
        <v>24</v>
      </c>
      <c r="E115" t="s">
        <v>30</v>
      </c>
      <c r="F115">
        <v>13</v>
      </c>
      <c r="G115">
        <v>25000</v>
      </c>
      <c r="H115">
        <v>325000</v>
      </c>
    </row>
    <row r="116" spans="1:8">
      <c r="A116" t="s">
        <v>257</v>
      </c>
      <c r="B116" t="s">
        <v>258</v>
      </c>
      <c r="C116" t="s">
        <v>23</v>
      </c>
      <c r="D116" t="s">
        <v>11</v>
      </c>
      <c r="E116" t="s">
        <v>46</v>
      </c>
      <c r="F116">
        <v>1</v>
      </c>
      <c r="G116">
        <v>800</v>
      </c>
      <c r="H116">
        <v>800</v>
      </c>
    </row>
    <row r="117" spans="1:8">
      <c r="A117" t="s">
        <v>233</v>
      </c>
      <c r="B117" t="s">
        <v>259</v>
      </c>
      <c r="C117" t="s">
        <v>260</v>
      </c>
      <c r="D117" t="s">
        <v>24</v>
      </c>
      <c r="E117" t="s">
        <v>12</v>
      </c>
      <c r="F117">
        <v>14</v>
      </c>
      <c r="G117">
        <v>15000</v>
      </c>
      <c r="H117">
        <v>209202</v>
      </c>
    </row>
    <row r="118" spans="1:8">
      <c r="A118" t="s">
        <v>245</v>
      </c>
      <c r="B118" t="s">
        <v>261</v>
      </c>
      <c r="C118" t="s">
        <v>260</v>
      </c>
      <c r="D118" t="s">
        <v>51</v>
      </c>
      <c r="E118" t="s">
        <v>20</v>
      </c>
      <c r="F118">
        <v>24</v>
      </c>
      <c r="G118">
        <v>30000</v>
      </c>
      <c r="H118">
        <v>720000</v>
      </c>
    </row>
    <row r="119" spans="1:8">
      <c r="A119" t="s">
        <v>153</v>
      </c>
      <c r="B119" t="s">
        <v>262</v>
      </c>
      <c r="C119" t="s">
        <v>263</v>
      </c>
      <c r="D119" t="s">
        <v>29</v>
      </c>
      <c r="E119" t="s">
        <v>46</v>
      </c>
      <c r="F119">
        <v>42</v>
      </c>
      <c r="G119">
        <v>800</v>
      </c>
      <c r="H119">
        <v>33600</v>
      </c>
    </row>
    <row r="120" spans="1:8">
      <c r="A120" t="s">
        <v>122</v>
      </c>
      <c r="B120" t="s">
        <v>264</v>
      </c>
      <c r="C120" t="s">
        <v>23</v>
      </c>
      <c r="D120" t="s">
        <v>29</v>
      </c>
      <c r="E120" t="s">
        <v>38</v>
      </c>
      <c r="F120">
        <v>31</v>
      </c>
      <c r="G120">
        <v>30000</v>
      </c>
      <c r="H120">
        <v>930307</v>
      </c>
    </row>
    <row r="121" spans="1:8">
      <c r="A121" t="s">
        <v>265</v>
      </c>
      <c r="B121" t="s">
        <v>266</v>
      </c>
      <c r="C121" t="s">
        <v>15</v>
      </c>
      <c r="D121" t="s">
        <v>51</v>
      </c>
      <c r="E121" t="s">
        <v>16</v>
      </c>
      <c r="F121">
        <v>21</v>
      </c>
      <c r="G121">
        <v>15000</v>
      </c>
      <c r="H121">
        <v>315000</v>
      </c>
    </row>
    <row r="122" spans="1:8">
      <c r="A122" t="s">
        <v>267</v>
      </c>
      <c r="B122" t="s">
        <v>268</v>
      </c>
      <c r="C122" t="s">
        <v>23</v>
      </c>
      <c r="D122" t="s">
        <v>11</v>
      </c>
      <c r="E122" t="s">
        <v>30</v>
      </c>
      <c r="F122">
        <v>25</v>
      </c>
      <c r="G122">
        <v>30000</v>
      </c>
      <c r="H122">
        <v>750000</v>
      </c>
    </row>
    <row r="123" spans="1:8">
      <c r="A123" t="s">
        <v>269</v>
      </c>
      <c r="B123" t="s">
        <v>270</v>
      </c>
      <c r="C123" t="s">
        <v>23</v>
      </c>
      <c r="D123" t="s">
        <v>24</v>
      </c>
      <c r="E123" t="s">
        <v>61</v>
      </c>
      <c r="F123">
        <v>5</v>
      </c>
      <c r="G123">
        <v>15000</v>
      </c>
      <c r="H123">
        <v>75000</v>
      </c>
    </row>
    <row r="124" spans="1:8">
      <c r="A124" t="s">
        <v>271</v>
      </c>
      <c r="B124" t="s">
        <v>272</v>
      </c>
      <c r="C124" t="s">
        <v>176</v>
      </c>
      <c r="D124" t="s">
        <v>29</v>
      </c>
      <c r="E124" t="s">
        <v>61</v>
      </c>
      <c r="F124">
        <v>23</v>
      </c>
      <c r="G124">
        <v>25000</v>
      </c>
      <c r="H124">
        <v>575000</v>
      </c>
    </row>
    <row r="125" spans="1:8">
      <c r="A125" t="s">
        <v>273</v>
      </c>
      <c r="B125" t="s">
        <v>274</v>
      </c>
      <c r="C125" t="s">
        <v>15</v>
      </c>
      <c r="D125" t="s">
        <v>11</v>
      </c>
      <c r="F125">
        <v>16</v>
      </c>
      <c r="G125">
        <v>50000</v>
      </c>
      <c r="H125">
        <v>800000</v>
      </c>
    </row>
    <row r="126" spans="1:8">
      <c r="A126" t="s">
        <v>275</v>
      </c>
      <c r="B126" t="s">
        <v>276</v>
      </c>
      <c r="C126" t="s">
        <v>15</v>
      </c>
      <c r="D126" t="s">
        <v>51</v>
      </c>
      <c r="E126" t="s">
        <v>33</v>
      </c>
      <c r="F126">
        <v>26</v>
      </c>
      <c r="G126">
        <v>50000</v>
      </c>
      <c r="H126">
        <v>1300000</v>
      </c>
    </row>
    <row r="127" spans="1:8">
      <c r="A127" t="s">
        <v>277</v>
      </c>
      <c r="B127" t="s">
        <v>278</v>
      </c>
      <c r="C127" t="s">
        <v>10</v>
      </c>
      <c r="D127" t="s">
        <v>11</v>
      </c>
      <c r="E127" t="s">
        <v>30</v>
      </c>
      <c r="F127">
        <v>38</v>
      </c>
      <c r="G127">
        <v>800</v>
      </c>
      <c r="H127">
        <v>30400</v>
      </c>
    </row>
    <row r="128" spans="1:8">
      <c r="A128" t="s">
        <v>279</v>
      </c>
      <c r="B128" t="s">
        <v>280</v>
      </c>
      <c r="C128" t="s">
        <v>19</v>
      </c>
      <c r="D128" t="s">
        <v>29</v>
      </c>
      <c r="E128" t="s">
        <v>12</v>
      </c>
      <c r="F128">
        <v>31</v>
      </c>
      <c r="G128">
        <v>800</v>
      </c>
      <c r="H128">
        <v>24800</v>
      </c>
    </row>
    <row r="129" spans="1:8">
      <c r="A129" t="s">
        <v>148</v>
      </c>
      <c r="B129" t="s">
        <v>281</v>
      </c>
      <c r="C129" t="s">
        <v>23</v>
      </c>
      <c r="D129" t="s">
        <v>29</v>
      </c>
      <c r="E129" t="s">
        <v>38</v>
      </c>
      <c r="F129">
        <v>14</v>
      </c>
      <c r="G129">
        <v>1200</v>
      </c>
      <c r="H129">
        <v>16800</v>
      </c>
    </row>
    <row r="130" spans="1:8">
      <c r="A130" t="s">
        <v>282</v>
      </c>
      <c r="B130" t="s">
        <v>283</v>
      </c>
      <c r="C130" t="s">
        <v>15</v>
      </c>
      <c r="D130" t="s">
        <v>24</v>
      </c>
      <c r="E130" t="s">
        <v>183</v>
      </c>
      <c r="F130">
        <v>26</v>
      </c>
      <c r="G130">
        <v>800</v>
      </c>
      <c r="H130">
        <v>20800</v>
      </c>
    </row>
    <row r="131" spans="1:8">
      <c r="A131" t="s">
        <v>284</v>
      </c>
      <c r="B131" t="s">
        <v>285</v>
      </c>
      <c r="C131" t="s">
        <v>15</v>
      </c>
      <c r="D131" t="s">
        <v>24</v>
      </c>
      <c r="E131" t="s">
        <v>16</v>
      </c>
      <c r="F131">
        <v>28</v>
      </c>
      <c r="G131">
        <v>800</v>
      </c>
      <c r="H131">
        <v>22400</v>
      </c>
    </row>
    <row r="132" spans="1:8">
      <c r="A132" t="s">
        <v>286</v>
      </c>
      <c r="B132" t="s">
        <v>287</v>
      </c>
      <c r="C132" t="s">
        <v>19</v>
      </c>
      <c r="D132" t="s">
        <v>11</v>
      </c>
      <c r="E132" t="s">
        <v>46</v>
      </c>
      <c r="F132">
        <v>41</v>
      </c>
      <c r="G132">
        <v>1200</v>
      </c>
      <c r="H132">
        <v>49200</v>
      </c>
    </row>
    <row r="133" spans="1:8">
      <c r="A133" t="s">
        <v>288</v>
      </c>
      <c r="B133" t="s">
        <v>289</v>
      </c>
      <c r="C133" t="s">
        <v>23</v>
      </c>
      <c r="D133" t="s">
        <v>11</v>
      </c>
      <c r="E133" t="s">
        <v>33</v>
      </c>
      <c r="F133">
        <v>25</v>
      </c>
      <c r="G133">
        <v>30000</v>
      </c>
      <c r="H133">
        <v>750000</v>
      </c>
    </row>
    <row r="134" spans="1:8">
      <c r="A134" t="s">
        <v>168</v>
      </c>
      <c r="B134" t="s">
        <v>290</v>
      </c>
      <c r="C134" t="s">
        <v>15</v>
      </c>
      <c r="D134" t="s">
        <v>11</v>
      </c>
      <c r="E134" t="s">
        <v>25</v>
      </c>
      <c r="F134">
        <v>12</v>
      </c>
      <c r="G134">
        <v>1200</v>
      </c>
      <c r="H134">
        <v>14400</v>
      </c>
    </row>
    <row r="135" spans="1:8">
      <c r="A135" t="s">
        <v>112</v>
      </c>
      <c r="B135" t="s">
        <v>291</v>
      </c>
      <c r="C135" t="s">
        <v>23</v>
      </c>
      <c r="D135" t="s">
        <v>29</v>
      </c>
      <c r="E135" t="s">
        <v>46</v>
      </c>
      <c r="F135">
        <v>46</v>
      </c>
      <c r="G135">
        <v>15000</v>
      </c>
      <c r="H135">
        <v>690000</v>
      </c>
    </row>
    <row r="136" spans="1:8">
      <c r="A136" t="s">
        <v>124</v>
      </c>
      <c r="B136" t="s">
        <v>292</v>
      </c>
      <c r="C136" t="s">
        <v>19</v>
      </c>
      <c r="D136" t="s">
        <v>29</v>
      </c>
      <c r="E136" t="s">
        <v>20</v>
      </c>
      <c r="F136">
        <v>41</v>
      </c>
      <c r="G136">
        <v>800</v>
      </c>
      <c r="H136">
        <v>32800</v>
      </c>
    </row>
    <row r="137" spans="1:8">
      <c r="A137" t="s">
        <v>293</v>
      </c>
      <c r="B137" t="s">
        <v>294</v>
      </c>
      <c r="C137" t="s">
        <v>116</v>
      </c>
      <c r="D137" t="s">
        <v>51</v>
      </c>
      <c r="E137" t="s">
        <v>20</v>
      </c>
      <c r="F137">
        <v>31</v>
      </c>
      <c r="G137">
        <v>50000</v>
      </c>
      <c r="H137">
        <v>1550000</v>
      </c>
    </row>
    <row r="138" spans="1:8">
      <c r="A138" t="s">
        <v>284</v>
      </c>
      <c r="B138" t="s">
        <v>295</v>
      </c>
      <c r="C138" t="s">
        <v>10</v>
      </c>
      <c r="D138" t="s">
        <v>11</v>
      </c>
      <c r="E138" t="s">
        <v>41</v>
      </c>
      <c r="F138">
        <v>35</v>
      </c>
      <c r="G138">
        <v>25000</v>
      </c>
      <c r="H138">
        <v>875000</v>
      </c>
    </row>
    <row r="139" spans="1:8">
      <c r="A139" t="s">
        <v>296</v>
      </c>
      <c r="B139" t="s">
        <v>297</v>
      </c>
      <c r="C139" t="s">
        <v>176</v>
      </c>
      <c r="D139" t="s">
        <v>29</v>
      </c>
      <c r="E139" t="s">
        <v>38</v>
      </c>
      <c r="F139">
        <v>35</v>
      </c>
      <c r="G139">
        <v>50000</v>
      </c>
      <c r="H139">
        <v>1750000</v>
      </c>
    </row>
    <row r="140" spans="1:8">
      <c r="A140" t="s">
        <v>136</v>
      </c>
      <c r="B140" t="s">
        <v>298</v>
      </c>
      <c r="C140" t="s">
        <v>57</v>
      </c>
      <c r="D140" t="s">
        <v>51</v>
      </c>
      <c r="E140" t="s">
        <v>12</v>
      </c>
      <c r="F140">
        <v>2</v>
      </c>
      <c r="G140">
        <v>1200</v>
      </c>
      <c r="H140">
        <v>2400</v>
      </c>
    </row>
    <row r="141" spans="1:8">
      <c r="A141" t="s">
        <v>299</v>
      </c>
      <c r="B141" t="s">
        <v>300</v>
      </c>
      <c r="C141" t="s">
        <v>143</v>
      </c>
      <c r="D141" t="s">
        <v>51</v>
      </c>
      <c r="E141" t="s">
        <v>33</v>
      </c>
      <c r="F141">
        <v>32</v>
      </c>
      <c r="G141">
        <v>1200</v>
      </c>
      <c r="H141">
        <v>38400</v>
      </c>
    </row>
    <row r="142" spans="1:8">
      <c r="A142" t="s">
        <v>301</v>
      </c>
      <c r="B142" t="s">
        <v>302</v>
      </c>
      <c r="C142" t="s">
        <v>19</v>
      </c>
      <c r="D142" t="s">
        <v>24</v>
      </c>
      <c r="E142" t="s">
        <v>72</v>
      </c>
      <c r="F142">
        <v>50</v>
      </c>
      <c r="G142">
        <v>30000</v>
      </c>
      <c r="H142">
        <v>1500000</v>
      </c>
    </row>
    <row r="143" spans="1:8">
      <c r="A143" t="s">
        <v>303</v>
      </c>
      <c r="B143" t="s">
        <v>304</v>
      </c>
      <c r="C143" t="s">
        <v>15</v>
      </c>
      <c r="D143" t="s">
        <v>51</v>
      </c>
      <c r="F143">
        <v>10</v>
      </c>
      <c r="G143">
        <v>15000</v>
      </c>
      <c r="H143">
        <v>149305</v>
      </c>
    </row>
    <row r="144" spans="1:8">
      <c r="A144" t="s">
        <v>226</v>
      </c>
      <c r="B144" t="s">
        <v>305</v>
      </c>
      <c r="C144" t="s">
        <v>306</v>
      </c>
      <c r="D144" t="s">
        <v>24</v>
      </c>
      <c r="E144" t="s">
        <v>30</v>
      </c>
      <c r="F144">
        <v>22</v>
      </c>
      <c r="G144">
        <v>50000</v>
      </c>
      <c r="H144">
        <v>1100000</v>
      </c>
    </row>
    <row r="145" spans="1:8">
      <c r="A145" t="s">
        <v>88</v>
      </c>
      <c r="B145" t="s">
        <v>307</v>
      </c>
      <c r="C145" t="s">
        <v>143</v>
      </c>
      <c r="D145" t="s">
        <v>24</v>
      </c>
      <c r="E145" t="s">
        <v>61</v>
      </c>
      <c r="F145">
        <v>12</v>
      </c>
      <c r="G145">
        <v>15000</v>
      </c>
      <c r="H145">
        <v>180000</v>
      </c>
    </row>
    <row r="146" spans="1:8">
      <c r="A146" t="s">
        <v>308</v>
      </c>
      <c r="B146" t="s">
        <v>309</v>
      </c>
      <c r="C146" t="s">
        <v>19</v>
      </c>
      <c r="D146" t="s">
        <v>24</v>
      </c>
      <c r="E146" t="s">
        <v>38</v>
      </c>
      <c r="F146">
        <v>11</v>
      </c>
      <c r="G146">
        <v>25000</v>
      </c>
      <c r="H146">
        <v>275159</v>
      </c>
    </row>
    <row r="147" spans="1:8">
      <c r="A147" t="s">
        <v>310</v>
      </c>
      <c r="B147" t="s">
        <v>311</v>
      </c>
      <c r="C147" t="s">
        <v>306</v>
      </c>
      <c r="D147" t="s">
        <v>24</v>
      </c>
      <c r="E147" t="s">
        <v>33</v>
      </c>
      <c r="F147">
        <v>45</v>
      </c>
      <c r="G147">
        <v>50000</v>
      </c>
      <c r="H147">
        <v>2250000</v>
      </c>
    </row>
    <row r="148" spans="1:8">
      <c r="A148" t="s">
        <v>312</v>
      </c>
      <c r="B148" t="s">
        <v>313</v>
      </c>
      <c r="C148" t="s">
        <v>19</v>
      </c>
      <c r="D148" t="s">
        <v>29</v>
      </c>
      <c r="E148" t="s">
        <v>16</v>
      </c>
      <c r="F148">
        <v>35</v>
      </c>
      <c r="G148">
        <v>25000</v>
      </c>
      <c r="H148">
        <v>875000</v>
      </c>
    </row>
    <row r="149" spans="1:8">
      <c r="A149" t="s">
        <v>314</v>
      </c>
      <c r="B149" t="s">
        <v>315</v>
      </c>
      <c r="C149" t="s">
        <v>19</v>
      </c>
      <c r="D149" t="s">
        <v>11</v>
      </c>
      <c r="E149" t="s">
        <v>20</v>
      </c>
      <c r="F149">
        <v>35</v>
      </c>
      <c r="G149">
        <v>25000</v>
      </c>
      <c r="H149">
        <v>875000</v>
      </c>
    </row>
    <row r="150" spans="1:8">
      <c r="A150" t="s">
        <v>316</v>
      </c>
      <c r="B150" t="s">
        <v>317</v>
      </c>
      <c r="C150" t="s">
        <v>19</v>
      </c>
      <c r="D150" t="s">
        <v>24</v>
      </c>
      <c r="E150" t="s">
        <v>12</v>
      </c>
      <c r="F150">
        <v>27</v>
      </c>
      <c r="G150">
        <v>15000</v>
      </c>
      <c r="H150">
        <v>405000</v>
      </c>
    </row>
    <row r="151" spans="1:8">
      <c r="A151" t="s">
        <v>177</v>
      </c>
      <c r="B151" t="s">
        <v>318</v>
      </c>
      <c r="C151" t="s">
        <v>260</v>
      </c>
      <c r="D151" t="s">
        <v>11</v>
      </c>
      <c r="E151" t="s">
        <v>46</v>
      </c>
      <c r="F151">
        <v>18</v>
      </c>
      <c r="G151">
        <v>15000</v>
      </c>
      <c r="H151">
        <v>270000</v>
      </c>
    </row>
    <row r="152" spans="1:8">
      <c r="A152" t="s">
        <v>319</v>
      </c>
      <c r="B152" t="s">
        <v>320</v>
      </c>
      <c r="C152" t="s">
        <v>10</v>
      </c>
      <c r="D152" t="s">
        <v>24</v>
      </c>
      <c r="E152" t="s">
        <v>16</v>
      </c>
      <c r="F152">
        <v>34</v>
      </c>
      <c r="G152">
        <v>50000</v>
      </c>
      <c r="H152">
        <v>1700000</v>
      </c>
    </row>
    <row r="153" spans="1:8">
      <c r="A153" t="s">
        <v>94</v>
      </c>
      <c r="B153" t="s">
        <v>321</v>
      </c>
      <c r="C153" t="s">
        <v>15</v>
      </c>
      <c r="D153" t="s">
        <v>29</v>
      </c>
      <c r="E153" t="s">
        <v>25</v>
      </c>
      <c r="F153">
        <v>7</v>
      </c>
      <c r="G153">
        <v>50000</v>
      </c>
      <c r="H153">
        <v>350000</v>
      </c>
    </row>
    <row r="154" spans="1:8">
      <c r="A154" t="s">
        <v>245</v>
      </c>
      <c r="B154" t="s">
        <v>322</v>
      </c>
      <c r="C154" t="s">
        <v>19</v>
      </c>
      <c r="D154" t="s">
        <v>29</v>
      </c>
      <c r="E154" t="s">
        <v>323</v>
      </c>
      <c r="F154">
        <v>26</v>
      </c>
      <c r="G154">
        <v>15000</v>
      </c>
      <c r="H154">
        <v>390000</v>
      </c>
    </row>
    <row r="155" spans="1:8">
      <c r="A155" t="s">
        <v>324</v>
      </c>
      <c r="B155" t="s">
        <v>325</v>
      </c>
      <c r="C155" t="s">
        <v>54</v>
      </c>
      <c r="D155" t="s">
        <v>51</v>
      </c>
      <c r="E155" t="s">
        <v>117</v>
      </c>
      <c r="F155">
        <v>8</v>
      </c>
      <c r="G155">
        <v>15000</v>
      </c>
      <c r="H155">
        <v>120000</v>
      </c>
    </row>
    <row r="156" spans="1:8">
      <c r="A156" t="s">
        <v>326</v>
      </c>
      <c r="B156" t="s">
        <v>327</v>
      </c>
      <c r="C156" t="s">
        <v>28</v>
      </c>
      <c r="D156" t="s">
        <v>29</v>
      </c>
      <c r="E156" t="s">
        <v>12</v>
      </c>
      <c r="F156">
        <v>3</v>
      </c>
      <c r="G156">
        <v>25000</v>
      </c>
      <c r="H156">
        <v>75000</v>
      </c>
    </row>
    <row r="157" spans="1:8">
      <c r="A157" t="s">
        <v>328</v>
      </c>
      <c r="B157" t="s">
        <v>329</v>
      </c>
      <c r="C157" t="s">
        <v>116</v>
      </c>
      <c r="D157" t="s">
        <v>51</v>
      </c>
      <c r="F157">
        <v>25</v>
      </c>
      <c r="G157">
        <v>15000</v>
      </c>
      <c r="H157">
        <v>375000</v>
      </c>
    </row>
    <row r="158" spans="1:8">
      <c r="A158" t="s">
        <v>235</v>
      </c>
      <c r="B158" t="s">
        <v>330</v>
      </c>
      <c r="C158" t="s">
        <v>15</v>
      </c>
      <c r="D158" t="s">
        <v>29</v>
      </c>
      <c r="E158" t="s">
        <v>46</v>
      </c>
      <c r="F158">
        <v>6</v>
      </c>
      <c r="G158">
        <v>50000</v>
      </c>
      <c r="H158">
        <v>300000</v>
      </c>
    </row>
    <row r="159" spans="1:8">
      <c r="A159" t="s">
        <v>331</v>
      </c>
      <c r="B159" t="s">
        <v>332</v>
      </c>
      <c r="C159" t="s">
        <v>23</v>
      </c>
      <c r="D159" t="s">
        <v>11</v>
      </c>
      <c r="E159" t="s">
        <v>16</v>
      </c>
      <c r="F159">
        <v>32</v>
      </c>
      <c r="G159">
        <v>30000</v>
      </c>
      <c r="H159">
        <v>960000</v>
      </c>
    </row>
    <row r="160" spans="1:8">
      <c r="A160" t="s">
        <v>333</v>
      </c>
      <c r="B160" t="s">
        <v>334</v>
      </c>
      <c r="C160" t="s">
        <v>15</v>
      </c>
      <c r="D160" t="s">
        <v>24</v>
      </c>
      <c r="E160" t="s">
        <v>38</v>
      </c>
      <c r="F160">
        <v>31</v>
      </c>
      <c r="G160">
        <v>800</v>
      </c>
      <c r="H160">
        <v>24800</v>
      </c>
    </row>
    <row r="161" spans="1:8">
      <c r="A161" t="s">
        <v>335</v>
      </c>
      <c r="B161" t="s">
        <v>336</v>
      </c>
      <c r="C161" t="s">
        <v>260</v>
      </c>
      <c r="D161" t="s">
        <v>11</v>
      </c>
      <c r="E161" t="s">
        <v>30</v>
      </c>
      <c r="F161">
        <v>48</v>
      </c>
      <c r="G161">
        <v>1200</v>
      </c>
      <c r="H161">
        <v>57600</v>
      </c>
    </row>
    <row r="162" spans="1:8">
      <c r="A162" t="s">
        <v>337</v>
      </c>
      <c r="B162" t="s">
        <v>338</v>
      </c>
      <c r="C162" t="s">
        <v>15</v>
      </c>
      <c r="D162" t="s">
        <v>29</v>
      </c>
      <c r="E162" t="s">
        <v>61</v>
      </c>
      <c r="F162">
        <v>44</v>
      </c>
      <c r="G162">
        <v>50000</v>
      </c>
      <c r="H162">
        <v>2200000</v>
      </c>
    </row>
    <row r="163" spans="1:8">
      <c r="A163" t="s">
        <v>339</v>
      </c>
      <c r="B163" t="s">
        <v>340</v>
      </c>
      <c r="C163" t="s">
        <v>54</v>
      </c>
      <c r="D163" t="s">
        <v>51</v>
      </c>
      <c r="E163" t="s">
        <v>117</v>
      </c>
      <c r="F163">
        <v>19</v>
      </c>
      <c r="G163">
        <v>25000</v>
      </c>
      <c r="H163">
        <v>475000</v>
      </c>
    </row>
    <row r="164" spans="1:8">
      <c r="A164" t="s">
        <v>341</v>
      </c>
      <c r="B164" t="s">
        <v>342</v>
      </c>
      <c r="C164" t="s">
        <v>10</v>
      </c>
      <c r="D164" t="s">
        <v>11</v>
      </c>
      <c r="E164" t="s">
        <v>61</v>
      </c>
      <c r="F164">
        <v>32</v>
      </c>
      <c r="G164">
        <v>25000</v>
      </c>
      <c r="H164">
        <v>800000</v>
      </c>
    </row>
    <row r="165" spans="1:8">
      <c r="A165" t="s">
        <v>249</v>
      </c>
      <c r="B165" t="s">
        <v>343</v>
      </c>
      <c r="C165" t="s">
        <v>23</v>
      </c>
      <c r="D165" t="s">
        <v>51</v>
      </c>
      <c r="E165" t="s">
        <v>30</v>
      </c>
      <c r="F165">
        <v>20</v>
      </c>
      <c r="G165">
        <v>25000</v>
      </c>
      <c r="H165">
        <v>500000</v>
      </c>
    </row>
    <row r="166" spans="1:8">
      <c r="A166" t="s">
        <v>247</v>
      </c>
      <c r="B166" t="s">
        <v>344</v>
      </c>
      <c r="C166" t="s">
        <v>19</v>
      </c>
      <c r="D166" t="s">
        <v>51</v>
      </c>
      <c r="E166" t="s">
        <v>12</v>
      </c>
      <c r="F166">
        <v>4</v>
      </c>
      <c r="G166">
        <v>15000</v>
      </c>
      <c r="H166">
        <v>60000</v>
      </c>
    </row>
    <row r="167" spans="1:8">
      <c r="A167" t="s">
        <v>345</v>
      </c>
      <c r="B167" t="s">
        <v>346</v>
      </c>
      <c r="C167" t="s">
        <v>15</v>
      </c>
      <c r="D167" t="s">
        <v>11</v>
      </c>
      <c r="E167" t="s">
        <v>20</v>
      </c>
      <c r="F167">
        <v>20</v>
      </c>
      <c r="G167">
        <v>30000</v>
      </c>
      <c r="H167">
        <v>600000</v>
      </c>
    </row>
    <row r="168" spans="1:8">
      <c r="A168" t="s">
        <v>347</v>
      </c>
      <c r="B168" t="s">
        <v>348</v>
      </c>
      <c r="C168" t="s">
        <v>143</v>
      </c>
      <c r="D168" t="s">
        <v>51</v>
      </c>
      <c r="E168" t="s">
        <v>72</v>
      </c>
      <c r="F168">
        <v>20</v>
      </c>
      <c r="G168">
        <v>1200</v>
      </c>
      <c r="H168">
        <v>24000</v>
      </c>
    </row>
    <row r="169" spans="1:8">
      <c r="A169" t="s">
        <v>349</v>
      </c>
      <c r="B169" t="s">
        <v>350</v>
      </c>
      <c r="C169" t="s">
        <v>10</v>
      </c>
      <c r="D169" t="s">
        <v>29</v>
      </c>
      <c r="E169" t="s">
        <v>30</v>
      </c>
      <c r="F169">
        <v>12</v>
      </c>
      <c r="G169">
        <v>15000</v>
      </c>
      <c r="H169">
        <v>180000</v>
      </c>
    </row>
    <row r="170" spans="1:8">
      <c r="A170" t="s">
        <v>351</v>
      </c>
      <c r="B170" t="s">
        <v>352</v>
      </c>
      <c r="C170" t="s">
        <v>10</v>
      </c>
      <c r="D170" t="s">
        <v>29</v>
      </c>
      <c r="E170" t="s">
        <v>20</v>
      </c>
      <c r="F170">
        <v>27</v>
      </c>
      <c r="G170">
        <v>30000</v>
      </c>
      <c r="H170">
        <v>810000</v>
      </c>
    </row>
    <row r="171" spans="1:8">
      <c r="A171" t="s">
        <v>353</v>
      </c>
      <c r="B171" t="s">
        <v>354</v>
      </c>
      <c r="C171" t="s">
        <v>23</v>
      </c>
      <c r="D171" t="s">
        <v>51</v>
      </c>
      <c r="E171" t="s">
        <v>20</v>
      </c>
      <c r="F171">
        <v>43</v>
      </c>
      <c r="G171">
        <v>50000</v>
      </c>
      <c r="H171">
        <v>2150000</v>
      </c>
    </row>
    <row r="172" spans="1:8">
      <c r="A172" t="s">
        <v>205</v>
      </c>
      <c r="B172" t="s">
        <v>355</v>
      </c>
      <c r="C172" t="s">
        <v>19</v>
      </c>
      <c r="D172" t="s">
        <v>11</v>
      </c>
      <c r="E172" t="s">
        <v>85</v>
      </c>
      <c r="F172">
        <v>5</v>
      </c>
      <c r="G172">
        <v>30000</v>
      </c>
      <c r="H172">
        <v>150000</v>
      </c>
    </row>
    <row r="173" spans="1:8">
      <c r="A173" t="s">
        <v>356</v>
      </c>
      <c r="B173" t="s">
        <v>357</v>
      </c>
      <c r="C173" t="s">
        <v>10</v>
      </c>
      <c r="D173" t="s">
        <v>51</v>
      </c>
      <c r="E173" t="s">
        <v>33</v>
      </c>
      <c r="F173">
        <v>18</v>
      </c>
      <c r="G173">
        <v>50000</v>
      </c>
      <c r="H173">
        <v>900000</v>
      </c>
    </row>
    <row r="174" spans="1:8">
      <c r="A174" t="s">
        <v>339</v>
      </c>
      <c r="B174" t="s">
        <v>358</v>
      </c>
      <c r="C174" t="s">
        <v>54</v>
      </c>
      <c r="D174" t="s">
        <v>29</v>
      </c>
      <c r="E174" t="s">
        <v>52</v>
      </c>
      <c r="F174">
        <v>13</v>
      </c>
      <c r="G174">
        <v>30000</v>
      </c>
      <c r="H174">
        <v>390000</v>
      </c>
    </row>
    <row r="175" spans="1:8">
      <c r="A175" t="s">
        <v>359</v>
      </c>
      <c r="B175" t="s">
        <v>360</v>
      </c>
      <c r="C175" t="s">
        <v>57</v>
      </c>
      <c r="D175" t="s">
        <v>24</v>
      </c>
      <c r="E175" t="s">
        <v>72</v>
      </c>
      <c r="F175">
        <v>14</v>
      </c>
      <c r="G175">
        <v>30000</v>
      </c>
      <c r="H175">
        <v>420000</v>
      </c>
    </row>
    <row r="176" spans="1:8">
      <c r="A176" t="s">
        <v>361</v>
      </c>
      <c r="B176" t="s">
        <v>362</v>
      </c>
      <c r="C176" t="s">
        <v>19</v>
      </c>
      <c r="D176" t="s">
        <v>24</v>
      </c>
      <c r="E176" t="s">
        <v>61</v>
      </c>
      <c r="F176">
        <v>50</v>
      </c>
      <c r="G176">
        <v>30000</v>
      </c>
      <c r="H176">
        <v>1500000</v>
      </c>
    </row>
    <row r="177" spans="1:8">
      <c r="A177" t="s">
        <v>363</v>
      </c>
      <c r="B177" t="s">
        <v>364</v>
      </c>
      <c r="C177" t="s">
        <v>23</v>
      </c>
      <c r="D177" t="s">
        <v>29</v>
      </c>
      <c r="E177" t="s">
        <v>16</v>
      </c>
      <c r="F177">
        <v>6</v>
      </c>
      <c r="G177">
        <v>800</v>
      </c>
      <c r="H177">
        <v>4800</v>
      </c>
    </row>
    <row r="178" spans="1:8">
      <c r="A178" t="s">
        <v>75</v>
      </c>
      <c r="B178" t="s">
        <v>365</v>
      </c>
      <c r="C178" t="s">
        <v>23</v>
      </c>
      <c r="D178" t="s">
        <v>11</v>
      </c>
      <c r="E178" t="s">
        <v>16</v>
      </c>
      <c r="F178">
        <v>29</v>
      </c>
      <c r="G178">
        <v>800</v>
      </c>
      <c r="H178">
        <v>23200</v>
      </c>
    </row>
    <row r="179" spans="1:8">
      <c r="A179" t="s">
        <v>366</v>
      </c>
      <c r="B179" t="s">
        <v>367</v>
      </c>
      <c r="C179" t="s">
        <v>15</v>
      </c>
      <c r="D179" t="s">
        <v>29</v>
      </c>
      <c r="E179" t="s">
        <v>38</v>
      </c>
      <c r="F179">
        <v>12</v>
      </c>
      <c r="G179">
        <v>25000</v>
      </c>
      <c r="H179">
        <v>300434</v>
      </c>
    </row>
    <row r="180" spans="1:8">
      <c r="A180" t="s">
        <v>368</v>
      </c>
      <c r="B180" t="s">
        <v>369</v>
      </c>
      <c r="C180" t="s">
        <v>19</v>
      </c>
      <c r="D180" t="s">
        <v>11</v>
      </c>
      <c r="E180" t="s">
        <v>370</v>
      </c>
      <c r="F180">
        <v>28</v>
      </c>
      <c r="G180">
        <v>25000</v>
      </c>
      <c r="H180">
        <v>700343</v>
      </c>
    </row>
    <row r="181" spans="1:8">
      <c r="A181" t="s">
        <v>371</v>
      </c>
      <c r="B181" t="s">
        <v>372</v>
      </c>
      <c r="C181" t="s">
        <v>57</v>
      </c>
      <c r="D181" t="s">
        <v>51</v>
      </c>
      <c r="E181" t="s">
        <v>16</v>
      </c>
      <c r="F181">
        <v>28</v>
      </c>
      <c r="G181">
        <v>30000</v>
      </c>
      <c r="H181">
        <v>840000</v>
      </c>
    </row>
    <row r="182" spans="1:8">
      <c r="A182" t="s">
        <v>94</v>
      </c>
      <c r="B182" t="s">
        <v>373</v>
      </c>
      <c r="C182" t="s">
        <v>116</v>
      </c>
      <c r="D182" t="s">
        <v>11</v>
      </c>
      <c r="E182" t="s">
        <v>20</v>
      </c>
      <c r="F182">
        <v>15</v>
      </c>
      <c r="G182">
        <v>800</v>
      </c>
      <c r="H182">
        <v>12000</v>
      </c>
    </row>
    <row r="183" spans="1:8">
      <c r="A183" t="s">
        <v>374</v>
      </c>
      <c r="B183" t="s">
        <v>375</v>
      </c>
      <c r="C183" t="s">
        <v>23</v>
      </c>
      <c r="D183" t="s">
        <v>11</v>
      </c>
      <c r="E183" t="s">
        <v>20</v>
      </c>
      <c r="F183">
        <v>32</v>
      </c>
      <c r="G183">
        <v>800</v>
      </c>
      <c r="H183">
        <v>25600</v>
      </c>
    </row>
    <row r="184" spans="1:8">
      <c r="A184" t="s">
        <v>8</v>
      </c>
      <c r="B184" t="s">
        <v>376</v>
      </c>
      <c r="C184" t="s">
        <v>10</v>
      </c>
      <c r="D184" t="s">
        <v>51</v>
      </c>
      <c r="E184" t="s">
        <v>72</v>
      </c>
      <c r="F184">
        <v>21</v>
      </c>
      <c r="G184">
        <v>1200</v>
      </c>
      <c r="H184">
        <v>25200</v>
      </c>
    </row>
    <row r="185" spans="1:8">
      <c r="A185" t="s">
        <v>377</v>
      </c>
      <c r="B185" t="s">
        <v>378</v>
      </c>
      <c r="C185" t="s">
        <v>23</v>
      </c>
      <c r="D185" t="s">
        <v>51</v>
      </c>
      <c r="E185" t="s">
        <v>30</v>
      </c>
      <c r="F185">
        <v>28</v>
      </c>
      <c r="G185">
        <v>25000</v>
      </c>
      <c r="H185">
        <v>700000</v>
      </c>
    </row>
    <row r="186" spans="1:8">
      <c r="A186" t="s">
        <v>94</v>
      </c>
      <c r="B186" t="s">
        <v>379</v>
      </c>
      <c r="C186" t="s">
        <v>23</v>
      </c>
      <c r="D186" t="s">
        <v>24</v>
      </c>
      <c r="F186">
        <v>30</v>
      </c>
      <c r="G186">
        <v>15000</v>
      </c>
      <c r="H186">
        <v>450000</v>
      </c>
    </row>
    <row r="187" spans="1:8">
      <c r="A187" t="s">
        <v>380</v>
      </c>
      <c r="B187" t="s">
        <v>381</v>
      </c>
      <c r="C187" t="s">
        <v>23</v>
      </c>
      <c r="D187" t="s">
        <v>24</v>
      </c>
      <c r="E187" t="s">
        <v>38</v>
      </c>
      <c r="F187">
        <v>27</v>
      </c>
      <c r="G187">
        <v>30000</v>
      </c>
      <c r="H187">
        <v>810000</v>
      </c>
    </row>
    <row r="188" spans="1:8">
      <c r="A188" t="s">
        <v>382</v>
      </c>
      <c r="B188" t="s">
        <v>383</v>
      </c>
      <c r="C188" t="s">
        <v>23</v>
      </c>
      <c r="D188" t="s">
        <v>24</v>
      </c>
      <c r="E188" t="s">
        <v>117</v>
      </c>
      <c r="F188">
        <v>3</v>
      </c>
      <c r="G188">
        <v>30000</v>
      </c>
      <c r="H188">
        <v>90000</v>
      </c>
    </row>
    <row r="189" spans="1:8">
      <c r="A189" t="s">
        <v>384</v>
      </c>
      <c r="B189" t="s">
        <v>385</v>
      </c>
      <c r="C189" t="s">
        <v>386</v>
      </c>
      <c r="D189" t="s">
        <v>51</v>
      </c>
      <c r="E189" t="s">
        <v>38</v>
      </c>
      <c r="F189">
        <v>43</v>
      </c>
      <c r="G189">
        <v>1200</v>
      </c>
      <c r="H189">
        <v>51600</v>
      </c>
    </row>
    <row r="190" spans="1:8">
      <c r="A190" t="s">
        <v>36</v>
      </c>
      <c r="B190" t="s">
        <v>387</v>
      </c>
      <c r="C190" t="s">
        <v>19</v>
      </c>
      <c r="D190" t="s">
        <v>29</v>
      </c>
      <c r="E190" t="s">
        <v>33</v>
      </c>
      <c r="F190">
        <v>27</v>
      </c>
      <c r="G190">
        <v>1200</v>
      </c>
      <c r="H190">
        <v>32400</v>
      </c>
    </row>
    <row r="191" spans="1:8">
      <c r="A191" t="s">
        <v>388</v>
      </c>
      <c r="B191" t="s">
        <v>389</v>
      </c>
      <c r="C191" t="s">
        <v>15</v>
      </c>
      <c r="D191" t="s">
        <v>29</v>
      </c>
      <c r="E191" t="s">
        <v>16</v>
      </c>
      <c r="F191">
        <v>49</v>
      </c>
      <c r="G191">
        <v>50000</v>
      </c>
      <c r="H191">
        <v>2450000</v>
      </c>
    </row>
    <row r="192" spans="1:8">
      <c r="A192" t="s">
        <v>390</v>
      </c>
      <c r="B192" t="s">
        <v>391</v>
      </c>
      <c r="C192" t="s">
        <v>15</v>
      </c>
      <c r="D192" t="s">
        <v>24</v>
      </c>
      <c r="E192" t="s">
        <v>52</v>
      </c>
      <c r="F192">
        <v>25</v>
      </c>
      <c r="G192">
        <v>25000</v>
      </c>
      <c r="H192">
        <v>625000</v>
      </c>
    </row>
    <row r="193" spans="1:8">
      <c r="A193" t="s">
        <v>392</v>
      </c>
      <c r="B193" t="s">
        <v>393</v>
      </c>
      <c r="C193" t="s">
        <v>15</v>
      </c>
      <c r="D193" t="s">
        <v>29</v>
      </c>
      <c r="E193" t="s">
        <v>72</v>
      </c>
      <c r="F193">
        <v>35</v>
      </c>
      <c r="G193">
        <v>15000</v>
      </c>
      <c r="H193">
        <v>525000</v>
      </c>
    </row>
    <row r="194" spans="1:8">
      <c r="A194" t="s">
        <v>394</v>
      </c>
      <c r="B194" t="s">
        <v>395</v>
      </c>
      <c r="C194" t="s">
        <v>23</v>
      </c>
      <c r="D194" t="s">
        <v>29</v>
      </c>
      <c r="E194" t="s">
        <v>38</v>
      </c>
      <c r="F194">
        <v>24</v>
      </c>
      <c r="G194">
        <v>800</v>
      </c>
      <c r="H194">
        <v>19200</v>
      </c>
    </row>
    <row r="195" spans="1:8">
      <c r="A195" t="s">
        <v>8</v>
      </c>
      <c r="B195" t="s">
        <v>396</v>
      </c>
      <c r="C195" t="s">
        <v>19</v>
      </c>
      <c r="D195" t="s">
        <v>29</v>
      </c>
      <c r="E195" t="s">
        <v>12</v>
      </c>
      <c r="F195">
        <v>16</v>
      </c>
      <c r="G195">
        <v>1200</v>
      </c>
      <c r="H195">
        <v>19200</v>
      </c>
    </row>
    <row r="196" spans="1:8">
      <c r="A196" t="s">
        <v>397</v>
      </c>
      <c r="B196" t="s">
        <v>398</v>
      </c>
      <c r="C196" t="s">
        <v>15</v>
      </c>
      <c r="D196" t="s">
        <v>29</v>
      </c>
      <c r="E196" t="s">
        <v>46</v>
      </c>
      <c r="F196">
        <v>19</v>
      </c>
      <c r="G196">
        <v>30000</v>
      </c>
      <c r="H196">
        <v>570000</v>
      </c>
    </row>
    <row r="197" spans="1:8">
      <c r="A197" t="s">
        <v>106</v>
      </c>
      <c r="B197" t="s">
        <v>399</v>
      </c>
      <c r="C197" t="s">
        <v>23</v>
      </c>
      <c r="D197" t="s">
        <v>29</v>
      </c>
      <c r="E197" t="s">
        <v>72</v>
      </c>
      <c r="F197">
        <v>12</v>
      </c>
      <c r="G197">
        <v>800</v>
      </c>
      <c r="H197">
        <v>9600</v>
      </c>
    </row>
    <row r="198" spans="1:8">
      <c r="A198" t="s">
        <v>160</v>
      </c>
      <c r="B198" t="s">
        <v>400</v>
      </c>
      <c r="C198" t="s">
        <v>23</v>
      </c>
      <c r="D198" t="s">
        <v>51</v>
      </c>
      <c r="E198" t="s">
        <v>25</v>
      </c>
      <c r="F198">
        <v>23</v>
      </c>
      <c r="G198">
        <v>1200</v>
      </c>
      <c r="H198">
        <v>27600</v>
      </c>
    </row>
    <row r="199" spans="1:8">
      <c r="A199" t="s">
        <v>401</v>
      </c>
      <c r="B199" t="s">
        <v>402</v>
      </c>
      <c r="C199" t="s">
        <v>10</v>
      </c>
      <c r="D199" t="s">
        <v>24</v>
      </c>
      <c r="E199" t="s">
        <v>12</v>
      </c>
      <c r="F199">
        <v>5</v>
      </c>
      <c r="G199">
        <v>1200</v>
      </c>
      <c r="H199">
        <v>6000</v>
      </c>
    </row>
    <row r="200" spans="1:8">
      <c r="A200" t="s">
        <v>141</v>
      </c>
      <c r="B200" t="s">
        <v>403</v>
      </c>
      <c r="C200" t="s">
        <v>15</v>
      </c>
      <c r="D200" t="s">
        <v>11</v>
      </c>
      <c r="E200" t="s">
        <v>404</v>
      </c>
      <c r="F200">
        <v>44</v>
      </c>
      <c r="G200">
        <v>1200</v>
      </c>
      <c r="H200">
        <v>52800</v>
      </c>
    </row>
    <row r="201" spans="1:8">
      <c r="A201" t="s">
        <v>47</v>
      </c>
      <c r="B201" t="s">
        <v>405</v>
      </c>
      <c r="C201" t="s">
        <v>19</v>
      </c>
      <c r="D201" t="s">
        <v>24</v>
      </c>
      <c r="E201" t="s">
        <v>20</v>
      </c>
      <c r="F201">
        <v>46</v>
      </c>
      <c r="G201">
        <v>25000</v>
      </c>
      <c r="H201">
        <v>1150000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11814-46B7-4BBF-82A7-81479B400638}">
  <dimension ref="A1:Z204"/>
  <sheetViews>
    <sheetView workbookViewId="0">
      <selection activeCell="J8" sqref="J8"/>
    </sheetView>
  </sheetViews>
  <sheetFormatPr defaultRowHeight="15"/>
  <cols>
    <col min="1" max="1" width="13.28515625" customWidth="1"/>
    <col min="2" max="2" width="15.42578125" bestFit="1" customWidth="1"/>
    <col min="3" max="3" width="10.140625" bestFit="1" customWidth="1"/>
    <col min="5" max="5" width="14.140625" customWidth="1"/>
    <col min="11" max="11" width="11.140625" bestFit="1" customWidth="1"/>
    <col min="13" max="13" width="12.5703125" customWidth="1"/>
    <col min="15" max="15" width="12.5703125" customWidth="1"/>
    <col min="20" max="20" width="10.85546875" customWidth="1"/>
  </cols>
  <sheetData>
    <row r="1" spans="1:26">
      <c r="A1" s="51" t="s">
        <v>406</v>
      </c>
      <c r="B1" s="52"/>
      <c r="C1" s="52"/>
      <c r="D1" s="12"/>
      <c r="E1" s="54" t="s">
        <v>407</v>
      </c>
      <c r="F1" s="54"/>
      <c r="G1" s="54"/>
      <c r="H1" s="12"/>
      <c r="I1" s="54" t="s">
        <v>408</v>
      </c>
      <c r="J1" s="54"/>
      <c r="K1" s="54"/>
      <c r="L1" s="12"/>
      <c r="M1" s="56" t="s">
        <v>409</v>
      </c>
      <c r="N1" s="56"/>
      <c r="O1" s="56"/>
      <c r="P1" s="56"/>
      <c r="Q1" s="56"/>
      <c r="R1" s="56"/>
      <c r="S1" s="56"/>
      <c r="T1" s="56"/>
      <c r="U1" s="12"/>
    </row>
    <row r="2" spans="1:26">
      <c r="A2" s="53"/>
      <c r="B2" s="53"/>
      <c r="C2" s="53"/>
      <c r="D2" s="12"/>
      <c r="E2" s="55"/>
      <c r="F2" s="55"/>
      <c r="G2" s="55"/>
      <c r="H2" s="12"/>
      <c r="I2" s="55"/>
      <c r="J2" s="55"/>
      <c r="K2" s="55"/>
      <c r="L2" s="12"/>
      <c r="M2" s="57"/>
      <c r="N2" s="57"/>
      <c r="O2" s="57"/>
      <c r="P2" s="57"/>
      <c r="Q2" s="57"/>
      <c r="R2" s="57"/>
      <c r="S2" s="57"/>
      <c r="T2" s="57"/>
      <c r="U2" s="12"/>
    </row>
    <row r="3" spans="1:26">
      <c r="A3" s="38" t="s">
        <v>0</v>
      </c>
      <c r="B3" s="39" t="s">
        <v>410</v>
      </c>
      <c r="C3" s="40" t="s">
        <v>0</v>
      </c>
      <c r="D3" s="12"/>
      <c r="E3" s="41" t="s">
        <v>2</v>
      </c>
      <c r="F3" s="42" t="s">
        <v>3</v>
      </c>
      <c r="G3" s="43" t="s">
        <v>4</v>
      </c>
      <c r="H3" s="13"/>
      <c r="I3" s="41" t="s">
        <v>5</v>
      </c>
      <c r="J3" s="42" t="s">
        <v>6</v>
      </c>
      <c r="K3" s="43" t="s">
        <v>7</v>
      </c>
      <c r="L3" s="13"/>
      <c r="M3" s="41" t="s">
        <v>0</v>
      </c>
      <c r="N3" s="44" t="s">
        <v>1</v>
      </c>
      <c r="O3" s="45" t="s">
        <v>2</v>
      </c>
      <c r="P3" s="46" t="s">
        <v>3</v>
      </c>
      <c r="Q3" s="47" t="s">
        <v>4</v>
      </c>
      <c r="R3" s="48" t="s">
        <v>5</v>
      </c>
      <c r="S3" s="42" t="s">
        <v>6</v>
      </c>
      <c r="T3" s="43" t="s">
        <v>7</v>
      </c>
      <c r="U3" s="12"/>
    </row>
    <row r="4" spans="1:26">
      <c r="A4" s="16" t="s">
        <v>8</v>
      </c>
      <c r="B4" s="17">
        <f>VALUE(A4)</f>
        <v>45775</v>
      </c>
      <c r="C4" s="18">
        <f>IF(ISNUMBER(B4),B4,DATE(RIGHT(A4,4),MID(A4,4,2),LEFT(A4,2)))</f>
        <v>45775</v>
      </c>
      <c r="D4" s="12"/>
      <c r="E4" s="16" t="str">
        <f>PROPER(TRIM('RAW Data'!C2))</f>
        <v>Laptop</v>
      </c>
      <c r="F4" s="6" t="str">
        <f>PROPER(TRIM('RAW Data'!D2))</f>
        <v>South</v>
      </c>
      <c r="G4" s="22" t="str">
        <f>PROPER(TRIM('RAW Data'!E2))</f>
        <v>Rohit</v>
      </c>
      <c r="H4" s="12"/>
      <c r="I4" s="24">
        <v>27</v>
      </c>
      <c r="J4" s="7">
        <v>1200</v>
      </c>
      <c r="K4" s="8">
        <v>32400</v>
      </c>
      <c r="L4" s="12"/>
      <c r="M4" s="26">
        <v>45775</v>
      </c>
      <c r="N4" s="6" t="s">
        <v>9</v>
      </c>
      <c r="O4" s="6" t="s">
        <v>10</v>
      </c>
      <c r="P4" s="6" t="s">
        <v>11</v>
      </c>
      <c r="Q4" s="6" t="s">
        <v>12</v>
      </c>
      <c r="R4" s="7">
        <v>27</v>
      </c>
      <c r="S4" s="7">
        <v>1200</v>
      </c>
      <c r="T4" s="8">
        <v>32400</v>
      </c>
      <c r="U4" s="12"/>
    </row>
    <row r="5" spans="1:26">
      <c r="A5" s="16" t="s">
        <v>13</v>
      </c>
      <c r="B5" s="17">
        <f t="shared" ref="B5:B68" si="0">VALUE(A5)</f>
        <v>45755</v>
      </c>
      <c r="C5" s="18">
        <f>IF(ISNUMBER(B5),B5,DATE(RIGHT(A5,4),MID(A5,4,2),LEFT(A5,2)))</f>
        <v>45755</v>
      </c>
      <c r="D5" s="12"/>
      <c r="E5" s="16" t="str">
        <f>PROPER(TRIM('RAW Data'!C3))</f>
        <v>Accessories</v>
      </c>
      <c r="F5" s="6" t="str">
        <f>PROPER(TRIM('RAW Data'!D3))</f>
        <v>South</v>
      </c>
      <c r="G5" s="22" t="str">
        <f>PROPER(TRIM('RAW Data'!E3))</f>
        <v>Amit</v>
      </c>
      <c r="H5" s="12"/>
      <c r="I5" s="24">
        <v>30</v>
      </c>
      <c r="J5" s="7">
        <v>25000</v>
      </c>
      <c r="K5" s="8">
        <v>750000</v>
      </c>
      <c r="L5" s="12"/>
      <c r="M5" s="26">
        <v>45755</v>
      </c>
      <c r="N5" s="6" t="s">
        <v>14</v>
      </c>
      <c r="O5" s="6" t="s">
        <v>15</v>
      </c>
      <c r="P5" s="6" t="s">
        <v>11</v>
      </c>
      <c r="Q5" s="6" t="s">
        <v>16</v>
      </c>
      <c r="R5" s="7">
        <v>30</v>
      </c>
      <c r="S5" s="7">
        <v>25000</v>
      </c>
      <c r="T5" s="8">
        <v>750000</v>
      </c>
      <c r="U5" s="12"/>
    </row>
    <row r="6" spans="1:26">
      <c r="A6" s="16" t="s">
        <v>17</v>
      </c>
      <c r="B6" s="17">
        <f t="shared" si="0"/>
        <v>45718</v>
      </c>
      <c r="C6" s="18">
        <f>IF(ISNUMBER(B6),B6,DATE(RIGHT(A6,4),MID(A6,4,2),LEFT(A6,2)))</f>
        <v>45718</v>
      </c>
      <c r="D6" s="12"/>
      <c r="E6" s="16" t="str">
        <f>PROPER(TRIM('RAW Data'!C4))</f>
        <v>Tablet</v>
      </c>
      <c r="F6" s="6" t="str">
        <f>PROPER(TRIM('RAW Data'!D4))</f>
        <v>South</v>
      </c>
      <c r="G6" s="22" t="str">
        <f>PROPER(TRIM('RAW Data'!E4))</f>
        <v>Sonia</v>
      </c>
      <c r="H6" s="12"/>
      <c r="I6" s="24">
        <v>23</v>
      </c>
      <c r="J6" s="7">
        <v>25000</v>
      </c>
      <c r="K6" s="8">
        <v>575000</v>
      </c>
      <c r="L6" s="12"/>
      <c r="M6" s="26">
        <v>45718</v>
      </c>
      <c r="N6" s="6" t="s">
        <v>18</v>
      </c>
      <c r="O6" s="6" t="s">
        <v>19</v>
      </c>
      <c r="P6" s="6" t="s">
        <v>11</v>
      </c>
      <c r="Q6" s="6" t="s">
        <v>20</v>
      </c>
      <c r="R6" s="7">
        <v>23</v>
      </c>
      <c r="S6" s="7">
        <v>25000</v>
      </c>
      <c r="T6" s="8">
        <v>575000</v>
      </c>
      <c r="U6" s="12"/>
    </row>
    <row r="7" spans="1:26">
      <c r="A7" s="16" t="s">
        <v>21</v>
      </c>
      <c r="B7" s="17">
        <f t="shared" si="0"/>
        <v>45693</v>
      </c>
      <c r="C7" s="18">
        <f>IF(ISNUMBER(B7),B7,DATE(RIGHT(A7,4),MID(A7,4,2),LEFT(A7,2)))</f>
        <v>45693</v>
      </c>
      <c r="D7" s="12"/>
      <c r="E7" s="16" t="str">
        <f>PROPER(TRIM('RAW Data'!C5))</f>
        <v>Mobile</v>
      </c>
      <c r="F7" s="6" t="str">
        <f>PROPER(TRIM('RAW Data'!D5))</f>
        <v>North</v>
      </c>
      <c r="G7" s="22" t="str">
        <f>PROPER(TRIM('RAW Data'!E5))</f>
        <v>Neha</v>
      </c>
      <c r="H7" s="12"/>
      <c r="I7" s="24">
        <v>6</v>
      </c>
      <c r="J7" s="7">
        <v>800</v>
      </c>
      <c r="K7" s="8">
        <v>4800</v>
      </c>
      <c r="L7" s="12"/>
      <c r="M7" s="26">
        <v>45693</v>
      </c>
      <c r="N7" s="6" t="s">
        <v>22</v>
      </c>
      <c r="O7" s="6" t="s">
        <v>23</v>
      </c>
      <c r="P7" s="6" t="s">
        <v>24</v>
      </c>
      <c r="Q7" s="6" t="s">
        <v>25</v>
      </c>
      <c r="R7" s="7">
        <v>6</v>
      </c>
      <c r="S7" s="7">
        <v>800</v>
      </c>
      <c r="T7" s="8">
        <v>4800</v>
      </c>
      <c r="U7" s="12"/>
    </row>
    <row r="8" spans="1:26">
      <c r="A8" s="16" t="s">
        <v>26</v>
      </c>
      <c r="B8" s="17">
        <f t="shared" si="0"/>
        <v>45706</v>
      </c>
      <c r="C8" s="18">
        <f>IF(ISNUMBER(B8),B8,DATE(RIGHT(A8,4),MID(A8,4,2),LEFT(A8,2)))</f>
        <v>45706</v>
      </c>
      <c r="D8" s="12"/>
      <c r="E8" s="16" t="str">
        <f>PROPER(TRIM('RAW Data'!C6))</f>
        <v>Mobile</v>
      </c>
      <c r="F8" s="6" t="str">
        <f>PROPER(TRIM('RAW Data'!D6))</f>
        <v>East</v>
      </c>
      <c r="G8" s="22" t="str">
        <f>PROPER(TRIM('RAW Data'!E6))</f>
        <v>Riya</v>
      </c>
      <c r="H8" s="12"/>
      <c r="I8" s="24">
        <v>45</v>
      </c>
      <c r="J8" s="7">
        <v>30000</v>
      </c>
      <c r="K8" s="8">
        <v>1350000</v>
      </c>
      <c r="L8" s="12"/>
      <c r="M8" s="26">
        <v>45706</v>
      </c>
      <c r="N8" s="6" t="s">
        <v>27</v>
      </c>
      <c r="O8" s="6" t="s">
        <v>23</v>
      </c>
      <c r="P8" s="6" t="s">
        <v>29</v>
      </c>
      <c r="Q8" s="6" t="s">
        <v>30</v>
      </c>
      <c r="R8" s="7">
        <v>45</v>
      </c>
      <c r="S8" s="7">
        <v>30000</v>
      </c>
      <c r="T8" s="8">
        <v>1350000</v>
      </c>
      <c r="U8" s="12"/>
    </row>
    <row r="9" spans="1:26">
      <c r="A9" s="16" t="s">
        <v>31</v>
      </c>
      <c r="B9" s="17">
        <f t="shared" si="0"/>
        <v>45708</v>
      </c>
      <c r="C9" s="18">
        <f>IF(ISNUMBER(B9),B9,DATE(RIGHT(A9,4),MID(A9,4,2),LEFT(A9,2)))</f>
        <v>45708</v>
      </c>
      <c r="D9" s="12"/>
      <c r="E9" s="16" t="str">
        <f>PROPER(TRIM('RAW Data'!C7))</f>
        <v>Accessories</v>
      </c>
      <c r="F9" s="6" t="str">
        <f>PROPER(TRIM('RAW Data'!D7))</f>
        <v>North</v>
      </c>
      <c r="G9" s="22" t="str">
        <f>PROPER(TRIM('RAW Data'!E7))</f>
        <v>Karan</v>
      </c>
      <c r="H9" s="12"/>
      <c r="I9" s="24">
        <v>23</v>
      </c>
      <c r="J9" s="7">
        <v>1200</v>
      </c>
      <c r="K9" s="8">
        <v>27600</v>
      </c>
      <c r="L9" s="12"/>
      <c r="M9" s="26">
        <v>45708</v>
      </c>
      <c r="N9" s="6" t="s">
        <v>32</v>
      </c>
      <c r="O9" s="6" t="s">
        <v>15</v>
      </c>
      <c r="P9" s="6" t="s">
        <v>24</v>
      </c>
      <c r="Q9" s="6" t="s">
        <v>33</v>
      </c>
      <c r="R9" s="7">
        <v>23</v>
      </c>
      <c r="S9" s="7">
        <v>1200</v>
      </c>
      <c r="T9" s="8">
        <v>27600</v>
      </c>
      <c r="U9" s="14"/>
      <c r="V9" s="5"/>
      <c r="W9" s="5"/>
      <c r="X9" s="5"/>
      <c r="Y9" s="5"/>
      <c r="Z9" s="5"/>
    </row>
    <row r="10" spans="1:26">
      <c r="A10" s="16" t="s">
        <v>34</v>
      </c>
      <c r="B10" s="17">
        <f t="shared" si="0"/>
        <v>45814</v>
      </c>
      <c r="C10" s="18">
        <f>IF(ISNUMBER(B10),B10,DATE(RIGHT(A10,4),MID(A10,4,2),LEFT(A10,2)))</f>
        <v>45814</v>
      </c>
      <c r="D10" s="12"/>
      <c r="E10" s="16" t="str">
        <f>PROPER(TRIM('RAW Data'!C8))</f>
        <v>Tablet</v>
      </c>
      <c r="F10" s="6" t="str">
        <f>PROPER(TRIM('RAW Data'!D8))</f>
        <v>South</v>
      </c>
      <c r="G10" s="22" t="str">
        <f>PROPER(TRIM('RAW Data'!E8))</f>
        <v/>
      </c>
      <c r="H10" s="12"/>
      <c r="I10" s="24">
        <v>16</v>
      </c>
      <c r="J10" s="7">
        <v>800</v>
      </c>
      <c r="K10" s="8">
        <v>12800</v>
      </c>
      <c r="L10" s="12"/>
      <c r="M10" s="26">
        <v>45814</v>
      </c>
      <c r="N10" s="6" t="s">
        <v>35</v>
      </c>
      <c r="O10" s="6" t="s">
        <v>19</v>
      </c>
      <c r="P10" s="6" t="s">
        <v>11</v>
      </c>
      <c r="Q10" s="6" t="s">
        <v>411</v>
      </c>
      <c r="R10" s="7">
        <v>16</v>
      </c>
      <c r="S10" s="7">
        <v>800</v>
      </c>
      <c r="T10" s="8">
        <v>12800</v>
      </c>
      <c r="U10" s="15"/>
      <c r="V10" s="6"/>
      <c r="W10" s="6"/>
      <c r="X10" s="6"/>
      <c r="Y10" s="6"/>
      <c r="Z10" s="6"/>
    </row>
    <row r="11" spans="1:26">
      <c r="A11" s="16" t="s">
        <v>36</v>
      </c>
      <c r="B11" s="17">
        <f t="shared" si="0"/>
        <v>45751</v>
      </c>
      <c r="C11" s="18">
        <f>IF(ISNUMBER(B11),B11,DATE(RIGHT(A11,4),MID(A11,4,2),LEFT(A11,2)))</f>
        <v>45751</v>
      </c>
      <c r="D11" s="12"/>
      <c r="E11" s="16" t="str">
        <f>PROPER(TRIM('RAW Data'!C9))</f>
        <v>Mobile</v>
      </c>
      <c r="F11" s="6" t="str">
        <f>PROPER(TRIM('RAW Data'!D9))</f>
        <v>North</v>
      </c>
      <c r="G11" s="22" t="str">
        <f>PROPER(TRIM('RAW Data'!E9))</f>
        <v>Tina</v>
      </c>
      <c r="H11" s="12"/>
      <c r="I11" s="24">
        <v>50</v>
      </c>
      <c r="J11" s="7">
        <v>50000</v>
      </c>
      <c r="K11" s="8">
        <v>2500000</v>
      </c>
      <c r="L11" s="12"/>
      <c r="M11" s="26">
        <v>45751</v>
      </c>
      <c r="N11" s="6" t="s">
        <v>37</v>
      </c>
      <c r="O11" s="6" t="s">
        <v>23</v>
      </c>
      <c r="P11" s="6" t="s">
        <v>24</v>
      </c>
      <c r="Q11" s="6" t="s">
        <v>38</v>
      </c>
      <c r="R11" s="7">
        <v>50</v>
      </c>
      <c r="S11" s="7">
        <v>50000</v>
      </c>
      <c r="T11" s="8">
        <v>2500000</v>
      </c>
      <c r="U11" s="12"/>
    </row>
    <row r="12" spans="1:26">
      <c r="A12" s="16" t="s">
        <v>39</v>
      </c>
      <c r="B12" s="17">
        <f t="shared" si="0"/>
        <v>45661</v>
      </c>
      <c r="C12" s="18">
        <f>IF(ISNUMBER(B12),B12,DATE(RIGHT(A12,4),MID(A12,4,2),LEFT(A12,2)))</f>
        <v>45661</v>
      </c>
      <c r="D12" s="12"/>
      <c r="E12" s="16" t="str">
        <f>PROPER(TRIM('RAW Data'!C10))</f>
        <v>Accessories</v>
      </c>
      <c r="F12" s="6" t="str">
        <f>PROPER(TRIM('RAW Data'!D10))</f>
        <v>North</v>
      </c>
      <c r="G12" s="22" t="str">
        <f>PROPER(TRIM('RAW Data'!E10))</f>
        <v>Sonia</v>
      </c>
      <c r="H12" s="12"/>
      <c r="I12" s="24">
        <v>37</v>
      </c>
      <c r="J12" s="7">
        <v>15000</v>
      </c>
      <c r="K12" s="8">
        <v>555000</v>
      </c>
      <c r="L12" s="12"/>
      <c r="M12" s="26">
        <v>45661</v>
      </c>
      <c r="N12" s="6" t="s">
        <v>40</v>
      </c>
      <c r="O12" s="6" t="s">
        <v>15</v>
      </c>
      <c r="P12" s="6" t="s">
        <v>24</v>
      </c>
      <c r="Q12" s="6" t="s">
        <v>20</v>
      </c>
      <c r="R12" s="7">
        <v>37</v>
      </c>
      <c r="S12" s="7">
        <v>15000</v>
      </c>
      <c r="T12" s="8">
        <v>555000</v>
      </c>
      <c r="U12" s="12"/>
    </row>
    <row r="13" spans="1:26">
      <c r="A13" s="16" t="s">
        <v>42</v>
      </c>
      <c r="B13" s="17">
        <f t="shared" si="0"/>
        <v>45844</v>
      </c>
      <c r="C13" s="18">
        <f>IF(ISNUMBER(B13),B13,DATE(RIGHT(A13,4),MID(A13,4,2),LEFT(A13,2)))</f>
        <v>45844</v>
      </c>
      <c r="D13" s="12"/>
      <c r="E13" s="16" t="str">
        <f>PROPER(TRIM('RAW Data'!C11))</f>
        <v>Laptop</v>
      </c>
      <c r="F13" s="6" t="str">
        <f>PROPER(TRIM('RAW Data'!D11))</f>
        <v>South</v>
      </c>
      <c r="G13" s="22" t="str">
        <f>PROPER(TRIM('RAW Data'!E11))</f>
        <v>Neha</v>
      </c>
      <c r="H13" s="12"/>
      <c r="I13" s="24">
        <v>40</v>
      </c>
      <c r="J13" s="7">
        <v>800</v>
      </c>
      <c r="K13" s="8">
        <v>32000</v>
      </c>
      <c r="L13" s="12"/>
      <c r="M13" s="26">
        <v>45844</v>
      </c>
      <c r="N13" s="6" t="s">
        <v>43</v>
      </c>
      <c r="O13" s="6" t="s">
        <v>10</v>
      </c>
      <c r="P13" s="6" t="s">
        <v>11</v>
      </c>
      <c r="Q13" s="6" t="s">
        <v>25</v>
      </c>
      <c r="R13" s="7">
        <v>40</v>
      </c>
      <c r="S13" s="7">
        <v>800</v>
      </c>
      <c r="T13" s="8">
        <v>32000</v>
      </c>
      <c r="U13" s="12"/>
    </row>
    <row r="14" spans="1:26">
      <c r="A14" s="16" t="s">
        <v>44</v>
      </c>
      <c r="B14" s="17">
        <f t="shared" si="0"/>
        <v>45731</v>
      </c>
      <c r="C14" s="18">
        <f>IF(ISNUMBER(B14),B14,DATE(RIGHT(A14,4),MID(A14,4,2),LEFT(A14,2)))</f>
        <v>45731</v>
      </c>
      <c r="D14" s="12"/>
      <c r="E14" s="16" t="str">
        <f>PROPER(TRIM('RAW Data'!C12))</f>
        <v>Mobile</v>
      </c>
      <c r="F14" s="6" t="str">
        <f>PROPER(TRIM('RAW Data'!D12))</f>
        <v>East</v>
      </c>
      <c r="G14" s="22" t="str">
        <f>PROPER(TRIM('RAW Data'!E12))</f>
        <v>Manish</v>
      </c>
      <c r="H14" s="12"/>
      <c r="I14" s="24">
        <v>41</v>
      </c>
      <c r="J14" s="7">
        <v>800</v>
      </c>
      <c r="K14" s="8">
        <v>32800</v>
      </c>
      <c r="L14" s="12"/>
      <c r="M14" s="26">
        <v>45731</v>
      </c>
      <c r="N14" s="6" t="s">
        <v>45</v>
      </c>
      <c r="O14" s="6" t="s">
        <v>23</v>
      </c>
      <c r="P14" s="6" t="s">
        <v>29</v>
      </c>
      <c r="Q14" s="6" t="s">
        <v>46</v>
      </c>
      <c r="R14" s="7">
        <v>41</v>
      </c>
      <c r="S14" s="7">
        <v>800</v>
      </c>
      <c r="T14" s="8">
        <v>32800</v>
      </c>
      <c r="U14" s="12"/>
    </row>
    <row r="15" spans="1:26">
      <c r="A15" s="16" t="s">
        <v>47</v>
      </c>
      <c r="B15" s="17">
        <f t="shared" si="0"/>
        <v>45772</v>
      </c>
      <c r="C15" s="18">
        <f>IF(ISNUMBER(B15),B15,DATE(RIGHT(A15,4),MID(A15,4,2),LEFT(A15,2)))</f>
        <v>45772</v>
      </c>
      <c r="D15" s="12"/>
      <c r="E15" s="16" t="str">
        <f>PROPER(TRIM('RAW Data'!C13))</f>
        <v>Accessories</v>
      </c>
      <c r="F15" s="6" t="str">
        <f>PROPER(TRIM('RAW Data'!D13))</f>
        <v>East</v>
      </c>
      <c r="G15" s="22" t="str">
        <f>PROPER(TRIM('RAW Data'!E13))</f>
        <v>Manish</v>
      </c>
      <c r="H15" s="12"/>
      <c r="I15" s="24">
        <v>27</v>
      </c>
      <c r="J15" s="7">
        <v>50000</v>
      </c>
      <c r="K15" s="8">
        <v>1350000</v>
      </c>
      <c r="L15" s="12"/>
      <c r="M15" s="26">
        <v>45772</v>
      </c>
      <c r="N15" s="6" t="s">
        <v>48</v>
      </c>
      <c r="O15" s="6" t="s">
        <v>15</v>
      </c>
      <c r="P15" s="6" t="s">
        <v>29</v>
      </c>
      <c r="Q15" s="6" t="s">
        <v>46</v>
      </c>
      <c r="R15" s="7">
        <v>27</v>
      </c>
      <c r="S15" s="7">
        <v>50000</v>
      </c>
      <c r="T15" s="8">
        <v>1350000</v>
      </c>
      <c r="U15" s="12"/>
    </row>
    <row r="16" spans="1:26">
      <c r="A16" s="16" t="s">
        <v>49</v>
      </c>
      <c r="B16" s="17" t="e">
        <f t="shared" si="0"/>
        <v>#VALUE!</v>
      </c>
      <c r="C16" s="18">
        <f>IF(ISNUMBER(B16),B16,DATE(RIGHT(A16,4),MID(A16,4,2),LEFT(A16,2)))</f>
        <v>45742</v>
      </c>
      <c r="D16" s="12"/>
      <c r="E16" s="16" t="str">
        <f>PROPER(TRIM('RAW Data'!C14))</f>
        <v>Accessories</v>
      </c>
      <c r="F16" s="6" t="str">
        <f>PROPER(TRIM('RAW Data'!D14))</f>
        <v>West</v>
      </c>
      <c r="G16" s="22" t="str">
        <f>PROPER(TRIM('RAW Data'!E14))</f>
        <v>Tina</v>
      </c>
      <c r="H16" s="12"/>
      <c r="I16" s="24">
        <v>32</v>
      </c>
      <c r="J16" s="7">
        <v>25000</v>
      </c>
      <c r="K16" s="8">
        <v>799549</v>
      </c>
      <c r="L16" s="12"/>
      <c r="M16" s="26">
        <v>45742</v>
      </c>
      <c r="N16" s="6" t="s">
        <v>50</v>
      </c>
      <c r="O16" s="6" t="s">
        <v>15</v>
      </c>
      <c r="P16" s="6" t="s">
        <v>51</v>
      </c>
      <c r="Q16" s="6" t="s">
        <v>38</v>
      </c>
      <c r="R16" s="7">
        <v>32</v>
      </c>
      <c r="S16" s="7">
        <v>25000</v>
      </c>
      <c r="T16" s="8">
        <v>799549</v>
      </c>
      <c r="U16" s="12"/>
    </row>
    <row r="17" spans="1:21">
      <c r="A17" s="16" t="s">
        <v>26</v>
      </c>
      <c r="B17" s="17">
        <f t="shared" si="0"/>
        <v>45706</v>
      </c>
      <c r="C17" s="18">
        <f>IF(ISNUMBER(B17),B17,DATE(RIGHT(A17,4),MID(A17,4,2),LEFT(A17,2)))</f>
        <v>45706</v>
      </c>
      <c r="D17" s="12"/>
      <c r="E17" s="16" t="str">
        <f>PROPER(TRIM('RAW Data'!C15))</f>
        <v>Accessories</v>
      </c>
      <c r="F17" s="6" t="str">
        <f>PROPER(TRIM('RAW Data'!D15))</f>
        <v>North</v>
      </c>
      <c r="G17" s="22" t="str">
        <f>PROPER(TRIM('RAW Data'!E15))</f>
        <v>Tina</v>
      </c>
      <c r="H17" s="12"/>
      <c r="I17" s="24">
        <v>12</v>
      </c>
      <c r="J17" s="7">
        <v>30000</v>
      </c>
      <c r="K17" s="8">
        <v>360000</v>
      </c>
      <c r="L17" s="12"/>
      <c r="M17" s="26">
        <v>45706</v>
      </c>
      <c r="N17" s="6" t="s">
        <v>53</v>
      </c>
      <c r="O17" s="6" t="s">
        <v>15</v>
      </c>
      <c r="P17" s="6" t="s">
        <v>24</v>
      </c>
      <c r="Q17" s="6" t="s">
        <v>38</v>
      </c>
      <c r="R17" s="7">
        <v>12</v>
      </c>
      <c r="S17" s="7">
        <v>30000</v>
      </c>
      <c r="T17" s="8">
        <v>360000</v>
      </c>
      <c r="U17" s="12"/>
    </row>
    <row r="18" spans="1:21">
      <c r="A18" s="16" t="s">
        <v>55</v>
      </c>
      <c r="B18" s="17">
        <f t="shared" si="0"/>
        <v>45808</v>
      </c>
      <c r="C18" s="18">
        <f>IF(ISNUMBER(B18),B18,DATE(RIGHT(A18,4),MID(A18,4,2),LEFT(A18,2)))</f>
        <v>45808</v>
      </c>
      <c r="D18" s="12"/>
      <c r="E18" s="16" t="str">
        <f>PROPER(TRIM('RAW Data'!C16))</f>
        <v>Laptop</v>
      </c>
      <c r="F18" s="6" t="str">
        <f>PROPER(TRIM('RAW Data'!D16))</f>
        <v>West</v>
      </c>
      <c r="G18" s="22" t="str">
        <f>PROPER(TRIM('RAW Data'!E16))</f>
        <v>Neha</v>
      </c>
      <c r="H18" s="12"/>
      <c r="I18" s="24">
        <v>26</v>
      </c>
      <c r="J18" s="7">
        <v>25000</v>
      </c>
      <c r="K18" s="8">
        <v>650000</v>
      </c>
      <c r="L18" s="12"/>
      <c r="M18" s="26">
        <v>45808</v>
      </c>
      <c r="N18" s="6" t="s">
        <v>56</v>
      </c>
      <c r="O18" s="6" t="s">
        <v>10</v>
      </c>
      <c r="P18" s="6" t="s">
        <v>51</v>
      </c>
      <c r="Q18" s="6" t="s">
        <v>25</v>
      </c>
      <c r="R18" s="7">
        <v>26</v>
      </c>
      <c r="S18" s="7">
        <v>25000</v>
      </c>
      <c r="T18" s="8">
        <v>650000</v>
      </c>
      <c r="U18" s="12"/>
    </row>
    <row r="19" spans="1:21">
      <c r="A19" s="16" t="s">
        <v>59</v>
      </c>
      <c r="B19" s="17">
        <f t="shared" si="0"/>
        <v>45771</v>
      </c>
      <c r="C19" s="18">
        <f>IF(ISNUMBER(B19),B19,DATE(RIGHT(A19,4),MID(A19,4,2),LEFT(A19,2)))</f>
        <v>45771</v>
      </c>
      <c r="D19" s="12"/>
      <c r="E19" s="16" t="str">
        <f>PROPER(TRIM('RAW Data'!C17))</f>
        <v>Accessories</v>
      </c>
      <c r="F19" s="6" t="str">
        <f>PROPER(TRIM('RAW Data'!D17))</f>
        <v>East</v>
      </c>
      <c r="G19" s="22" t="str">
        <f>PROPER(TRIM('RAW Data'!E17))</f>
        <v>Priya</v>
      </c>
      <c r="H19" s="12"/>
      <c r="I19" s="24">
        <v>41</v>
      </c>
      <c r="J19" s="7">
        <v>50000</v>
      </c>
      <c r="K19" s="8">
        <v>2050000</v>
      </c>
      <c r="L19" s="12"/>
      <c r="M19" s="26">
        <v>45771</v>
      </c>
      <c r="N19" s="6" t="s">
        <v>60</v>
      </c>
      <c r="O19" s="6" t="s">
        <v>15</v>
      </c>
      <c r="P19" s="6" t="s">
        <v>29</v>
      </c>
      <c r="Q19" s="6" t="s">
        <v>61</v>
      </c>
      <c r="R19" s="7">
        <v>41</v>
      </c>
      <c r="S19" s="7">
        <v>50000</v>
      </c>
      <c r="T19" s="8">
        <v>2050000</v>
      </c>
      <c r="U19" s="12"/>
    </row>
    <row r="20" spans="1:21">
      <c r="A20" s="16" t="s">
        <v>62</v>
      </c>
      <c r="B20" s="17">
        <f t="shared" si="0"/>
        <v>45870</v>
      </c>
      <c r="C20" s="18">
        <f>IF(ISNUMBER(B20),B20,DATE(RIGHT(A20,4),MID(A20,4,2),LEFT(A20,2)))</f>
        <v>45870</v>
      </c>
      <c r="D20" s="12"/>
      <c r="E20" s="16" t="str">
        <f>PROPER(TRIM('RAW Data'!C18))</f>
        <v>Accessories</v>
      </c>
      <c r="F20" s="6" t="str">
        <f>PROPER(TRIM('RAW Data'!D18))</f>
        <v>West</v>
      </c>
      <c r="G20" s="22" t="str">
        <f>PROPER(TRIM('RAW Data'!E18))</f>
        <v>Tina</v>
      </c>
      <c r="H20" s="12"/>
      <c r="I20" s="24">
        <v>31</v>
      </c>
      <c r="J20" s="7">
        <v>1200</v>
      </c>
      <c r="K20" s="8">
        <v>37200</v>
      </c>
      <c r="L20" s="12"/>
      <c r="M20" s="26">
        <v>45870</v>
      </c>
      <c r="N20" s="6" t="s">
        <v>63</v>
      </c>
      <c r="O20" s="6" t="s">
        <v>15</v>
      </c>
      <c r="P20" s="6" t="s">
        <v>51</v>
      </c>
      <c r="Q20" s="6" t="s">
        <v>38</v>
      </c>
      <c r="R20" s="7">
        <v>31</v>
      </c>
      <c r="S20" s="7">
        <v>1200</v>
      </c>
      <c r="T20" s="8">
        <v>37200</v>
      </c>
      <c r="U20" s="12"/>
    </row>
    <row r="21" spans="1:21">
      <c r="A21" s="16" t="s">
        <v>64</v>
      </c>
      <c r="B21" s="17" t="e">
        <f t="shared" si="0"/>
        <v>#VALUE!</v>
      </c>
      <c r="C21" s="18">
        <f>IF(ISNUMBER(B21),B21,DATE(RIGHT(A21,4),MID(A21,4,2),LEFT(A21,2)))</f>
        <v>45737</v>
      </c>
      <c r="D21" s="12"/>
      <c r="E21" s="16" t="str">
        <f>PROPER(TRIM('RAW Data'!C19))</f>
        <v>Mobile</v>
      </c>
      <c r="F21" s="6" t="str">
        <f>PROPER(TRIM('RAW Data'!D19))</f>
        <v>East</v>
      </c>
      <c r="G21" s="22" t="str">
        <f>PROPER(TRIM('RAW Data'!E19))</f>
        <v>Rohit</v>
      </c>
      <c r="H21" s="12"/>
      <c r="I21" s="24">
        <v>32</v>
      </c>
      <c r="J21" s="7">
        <v>1200</v>
      </c>
      <c r="K21" s="8">
        <v>38400</v>
      </c>
      <c r="L21" s="12"/>
      <c r="M21" s="26">
        <v>45737</v>
      </c>
      <c r="N21" s="6" t="s">
        <v>65</v>
      </c>
      <c r="O21" s="6" t="s">
        <v>23</v>
      </c>
      <c r="P21" s="6" t="s">
        <v>29</v>
      </c>
      <c r="Q21" s="6" t="s">
        <v>12</v>
      </c>
      <c r="R21" s="7">
        <v>32</v>
      </c>
      <c r="S21" s="7">
        <v>1200</v>
      </c>
      <c r="T21" s="8">
        <v>38400</v>
      </c>
      <c r="U21" s="12"/>
    </row>
    <row r="22" spans="1:21">
      <c r="A22" s="16" t="s">
        <v>66</v>
      </c>
      <c r="B22" s="17">
        <f t="shared" si="0"/>
        <v>45729</v>
      </c>
      <c r="C22" s="18">
        <f>IF(ISNUMBER(B22),B22,DATE(RIGHT(A22,4),MID(A22,4,2),LEFT(A22,2)))</f>
        <v>45729</v>
      </c>
      <c r="D22" s="12"/>
      <c r="E22" s="16" t="str">
        <f>PROPER(TRIM('RAW Data'!C20))</f>
        <v>Accessories</v>
      </c>
      <c r="F22" s="6" t="str">
        <f>PROPER(TRIM('RAW Data'!D20))</f>
        <v>North</v>
      </c>
      <c r="G22" s="22" t="str">
        <f>PROPER(TRIM('RAW Data'!E20))</f>
        <v>Priya</v>
      </c>
      <c r="H22" s="12"/>
      <c r="I22" s="24">
        <v>24</v>
      </c>
      <c r="J22" s="7">
        <v>50000</v>
      </c>
      <c r="K22" s="8">
        <v>1200000</v>
      </c>
      <c r="L22" s="12"/>
      <c r="M22" s="26">
        <v>45729</v>
      </c>
      <c r="N22" s="6" t="s">
        <v>67</v>
      </c>
      <c r="O22" s="6" t="s">
        <v>15</v>
      </c>
      <c r="P22" s="6" t="s">
        <v>24</v>
      </c>
      <c r="Q22" s="6" t="s">
        <v>61</v>
      </c>
      <c r="R22" s="7">
        <v>24</v>
      </c>
      <c r="S22" s="7">
        <v>50000</v>
      </c>
      <c r="T22" s="8">
        <v>1200000</v>
      </c>
      <c r="U22" s="12"/>
    </row>
    <row r="23" spans="1:21">
      <c r="A23" s="16" t="s">
        <v>68</v>
      </c>
      <c r="B23" s="17" t="e">
        <f t="shared" si="0"/>
        <v>#VALUE!</v>
      </c>
      <c r="C23" s="18">
        <f>IF(ISNUMBER(B23),B23,DATE(RIGHT(A23,4),MID(A23,4,2),LEFT(A23,2)))</f>
        <v>45801</v>
      </c>
      <c r="D23" s="12"/>
      <c r="E23" s="16" t="str">
        <f>PROPER(TRIM('RAW Data'!C21))</f>
        <v>Tablet</v>
      </c>
      <c r="F23" s="6" t="str">
        <f>PROPER(TRIM('RAW Data'!D21))</f>
        <v>East</v>
      </c>
      <c r="G23" s="22" t="str">
        <f>PROPER(TRIM('RAW Data'!E21))</f>
        <v>Neha</v>
      </c>
      <c r="H23" s="12"/>
      <c r="I23" s="24">
        <v>31</v>
      </c>
      <c r="J23" s="7">
        <v>50000</v>
      </c>
      <c r="K23" s="8">
        <v>1550000</v>
      </c>
      <c r="L23" s="12"/>
      <c r="M23" s="26">
        <v>45801</v>
      </c>
      <c r="N23" s="6" t="s">
        <v>69</v>
      </c>
      <c r="O23" s="6" t="s">
        <v>19</v>
      </c>
      <c r="P23" s="6" t="s">
        <v>29</v>
      </c>
      <c r="Q23" s="6" t="s">
        <v>25</v>
      </c>
      <c r="R23" s="7">
        <v>31</v>
      </c>
      <c r="S23" s="7">
        <v>50000</v>
      </c>
      <c r="T23" s="8">
        <v>1550000</v>
      </c>
      <c r="U23" s="12"/>
    </row>
    <row r="24" spans="1:21">
      <c r="A24" s="16" t="s">
        <v>70</v>
      </c>
      <c r="B24" s="17">
        <f t="shared" si="0"/>
        <v>45817</v>
      </c>
      <c r="C24" s="18">
        <f>IF(ISNUMBER(B24),B24,DATE(RIGHT(A24,4),MID(A24,4,2),LEFT(A24,2)))</f>
        <v>45817</v>
      </c>
      <c r="D24" s="12"/>
      <c r="E24" s="16" t="str">
        <f>PROPER(TRIM('RAW Data'!C22))</f>
        <v>Accessories</v>
      </c>
      <c r="F24" s="6" t="str">
        <f>PROPER(TRIM('RAW Data'!D22))</f>
        <v>South</v>
      </c>
      <c r="G24" s="22" t="str">
        <f>PROPER(TRIM('RAW Data'!E22))</f>
        <v>Vivek</v>
      </c>
      <c r="H24" s="12"/>
      <c r="I24" s="24">
        <v>7</v>
      </c>
      <c r="J24" s="7">
        <v>15000</v>
      </c>
      <c r="K24" s="8">
        <v>105000</v>
      </c>
      <c r="L24" s="12"/>
      <c r="M24" s="26">
        <v>45817</v>
      </c>
      <c r="N24" s="6" t="s">
        <v>71</v>
      </c>
      <c r="O24" s="6" t="s">
        <v>15</v>
      </c>
      <c r="P24" s="6" t="s">
        <v>11</v>
      </c>
      <c r="Q24" s="6" t="s">
        <v>72</v>
      </c>
      <c r="R24" s="7">
        <v>7</v>
      </c>
      <c r="S24" s="7">
        <v>15000</v>
      </c>
      <c r="T24" s="8">
        <v>105000</v>
      </c>
      <c r="U24" s="12"/>
    </row>
    <row r="25" spans="1:21">
      <c r="A25" s="16" t="s">
        <v>73</v>
      </c>
      <c r="B25" s="17">
        <f t="shared" si="0"/>
        <v>45824</v>
      </c>
      <c r="C25" s="18">
        <f>IF(ISNUMBER(B25),B25,DATE(RIGHT(A25,4),MID(A25,4,2),LEFT(A25,2)))</f>
        <v>45824</v>
      </c>
      <c r="D25" s="12"/>
      <c r="E25" s="16" t="str">
        <f>PROPER(TRIM('RAW Data'!C23))</f>
        <v>Accessories</v>
      </c>
      <c r="F25" s="6" t="str">
        <f>PROPER(TRIM('RAW Data'!D23))</f>
        <v>East</v>
      </c>
      <c r="G25" s="22" t="str">
        <f>PROPER(TRIM('RAW Data'!E23))</f>
        <v>Neha</v>
      </c>
      <c r="H25" s="12"/>
      <c r="I25" s="24">
        <v>35</v>
      </c>
      <c r="J25" s="7">
        <v>800</v>
      </c>
      <c r="K25" s="8">
        <v>28000</v>
      </c>
      <c r="L25" s="12"/>
      <c r="M25" s="26">
        <v>45824</v>
      </c>
      <c r="N25" s="6" t="s">
        <v>74</v>
      </c>
      <c r="O25" s="6" t="s">
        <v>15</v>
      </c>
      <c r="P25" s="6" t="s">
        <v>29</v>
      </c>
      <c r="Q25" s="6" t="s">
        <v>25</v>
      </c>
      <c r="R25" s="7">
        <v>35</v>
      </c>
      <c r="S25" s="7">
        <v>800</v>
      </c>
      <c r="T25" s="8">
        <v>28000</v>
      </c>
      <c r="U25" s="12"/>
    </row>
    <row r="26" spans="1:21">
      <c r="A26" s="16" t="s">
        <v>75</v>
      </c>
      <c r="B26" s="17">
        <f t="shared" si="0"/>
        <v>45827</v>
      </c>
      <c r="C26" s="18">
        <f>IF(ISNUMBER(B26),B26,DATE(RIGHT(A26,4),MID(A26,4,2),LEFT(A26,2)))</f>
        <v>45827</v>
      </c>
      <c r="D26" s="12"/>
      <c r="E26" s="16" t="str">
        <f>PROPER(TRIM('RAW Data'!C24))</f>
        <v>Tablet</v>
      </c>
      <c r="F26" s="6" t="str">
        <f>PROPER(TRIM('RAW Data'!D24))</f>
        <v>West</v>
      </c>
      <c r="G26" s="22" t="str">
        <f>PROPER(TRIM('RAW Data'!E24))</f>
        <v>Tina</v>
      </c>
      <c r="H26" s="12"/>
      <c r="I26" s="24">
        <v>18</v>
      </c>
      <c r="J26" s="7">
        <v>1200</v>
      </c>
      <c r="K26" s="8">
        <v>21600</v>
      </c>
      <c r="L26" s="12"/>
      <c r="M26" s="26">
        <v>45827</v>
      </c>
      <c r="N26" s="6" t="s">
        <v>76</v>
      </c>
      <c r="O26" s="6" t="s">
        <v>19</v>
      </c>
      <c r="P26" s="6" t="s">
        <v>51</v>
      </c>
      <c r="Q26" s="6" t="s">
        <v>38</v>
      </c>
      <c r="R26" s="7">
        <v>18</v>
      </c>
      <c r="S26" s="7">
        <v>1200</v>
      </c>
      <c r="T26" s="8">
        <v>21600</v>
      </c>
      <c r="U26" s="12"/>
    </row>
    <row r="27" spans="1:21">
      <c r="A27" s="16" t="s">
        <v>77</v>
      </c>
      <c r="B27" s="17">
        <f t="shared" si="0"/>
        <v>45697</v>
      </c>
      <c r="C27" s="18">
        <f>IF(ISNUMBER(B27),B27,DATE(RIGHT(A27,4),MID(A27,4,2),LEFT(A27,2)))</f>
        <v>45697</v>
      </c>
      <c r="D27" s="12"/>
      <c r="E27" s="16" t="str">
        <f>PROPER(TRIM('RAW Data'!C25))</f>
        <v>Mobile</v>
      </c>
      <c r="F27" s="6" t="str">
        <f>PROPER(TRIM('RAW Data'!D25))</f>
        <v>West</v>
      </c>
      <c r="G27" s="22" t="str">
        <f>PROPER(TRIM('RAW Data'!E25))</f>
        <v>Tina</v>
      </c>
      <c r="H27" s="12"/>
      <c r="I27" s="24">
        <v>45</v>
      </c>
      <c r="J27" s="7">
        <v>25000</v>
      </c>
      <c r="K27" s="8">
        <v>1125000</v>
      </c>
      <c r="L27" s="12"/>
      <c r="M27" s="26">
        <v>45697</v>
      </c>
      <c r="N27" s="6" t="s">
        <v>78</v>
      </c>
      <c r="O27" s="6" t="s">
        <v>23</v>
      </c>
      <c r="P27" s="6" t="s">
        <v>51</v>
      </c>
      <c r="Q27" s="6" t="s">
        <v>38</v>
      </c>
      <c r="R27" s="7">
        <v>45</v>
      </c>
      <c r="S27" s="7">
        <v>25000</v>
      </c>
      <c r="T27" s="8">
        <v>1125000</v>
      </c>
      <c r="U27" s="12"/>
    </row>
    <row r="28" spans="1:21">
      <c r="A28" s="16" t="s">
        <v>79</v>
      </c>
      <c r="B28" s="17">
        <f t="shared" si="0"/>
        <v>45676</v>
      </c>
      <c r="C28" s="18">
        <f>IF(ISNUMBER(B28),B28,DATE(RIGHT(A28,4),MID(A28,4,2),LEFT(A28,2)))</f>
        <v>45676</v>
      </c>
      <c r="D28" s="12"/>
      <c r="E28" s="16" t="str">
        <f>PROPER(TRIM('RAW Data'!C26))</f>
        <v>Laptop</v>
      </c>
      <c r="F28" s="6" t="str">
        <f>PROPER(TRIM('RAW Data'!D26))</f>
        <v>South</v>
      </c>
      <c r="G28" s="22" t="str">
        <f>PROPER(TRIM('RAW Data'!E26))</f>
        <v>Priya</v>
      </c>
      <c r="H28" s="12"/>
      <c r="I28" s="24">
        <v>20</v>
      </c>
      <c r="J28" s="7">
        <v>800</v>
      </c>
      <c r="K28" s="8">
        <v>16000</v>
      </c>
      <c r="L28" s="12"/>
      <c r="M28" s="26">
        <v>45676</v>
      </c>
      <c r="N28" s="6" t="s">
        <v>80</v>
      </c>
      <c r="O28" s="6" t="s">
        <v>10</v>
      </c>
      <c r="P28" s="6" t="s">
        <v>11</v>
      </c>
      <c r="Q28" s="6" t="s">
        <v>61</v>
      </c>
      <c r="R28" s="7">
        <v>20</v>
      </c>
      <c r="S28" s="7">
        <v>800</v>
      </c>
      <c r="T28" s="8">
        <v>16000</v>
      </c>
      <c r="U28" s="12"/>
    </row>
    <row r="29" spans="1:21">
      <c r="A29" s="16" t="s">
        <v>81</v>
      </c>
      <c r="B29" s="17">
        <f t="shared" si="0"/>
        <v>45726</v>
      </c>
      <c r="C29" s="18">
        <f>IF(ISNUMBER(B29),B29,DATE(RIGHT(A29,4),MID(A29,4,2),LEFT(A29,2)))</f>
        <v>45726</v>
      </c>
      <c r="D29" s="12"/>
      <c r="E29" s="16" t="str">
        <f>PROPER(TRIM('RAW Data'!C27))</f>
        <v>Tablet</v>
      </c>
      <c r="F29" s="6" t="str">
        <f>PROPER(TRIM('RAW Data'!D27))</f>
        <v>East</v>
      </c>
      <c r="G29" s="22" t="str">
        <f>PROPER(TRIM('RAW Data'!E27))</f>
        <v>Amit</v>
      </c>
      <c r="H29" s="12"/>
      <c r="I29" s="24">
        <v>30</v>
      </c>
      <c r="J29" s="7">
        <v>25000</v>
      </c>
      <c r="K29" s="8">
        <v>750000</v>
      </c>
      <c r="L29" s="12"/>
      <c r="M29" s="26">
        <v>45726</v>
      </c>
      <c r="N29" s="6" t="s">
        <v>82</v>
      </c>
      <c r="O29" s="6" t="s">
        <v>19</v>
      </c>
      <c r="P29" s="6" t="s">
        <v>29</v>
      </c>
      <c r="Q29" s="6" t="s">
        <v>16</v>
      </c>
      <c r="R29" s="7">
        <v>30</v>
      </c>
      <c r="S29" s="7">
        <v>25000</v>
      </c>
      <c r="T29" s="8">
        <v>750000</v>
      </c>
      <c r="U29" s="12"/>
    </row>
    <row r="30" spans="1:21">
      <c r="A30" s="16" t="s">
        <v>83</v>
      </c>
      <c r="B30" s="17">
        <f t="shared" si="0"/>
        <v>45820</v>
      </c>
      <c r="C30" s="18">
        <f>IF(ISNUMBER(B30),B30,DATE(RIGHT(A30,4),MID(A30,4,2),LEFT(A30,2)))</f>
        <v>45820</v>
      </c>
      <c r="D30" s="12"/>
      <c r="E30" s="16" t="str">
        <f>PROPER(TRIM('RAW Data'!C28))</f>
        <v>Laptop</v>
      </c>
      <c r="F30" s="6" t="str">
        <f>PROPER(TRIM('RAW Data'!D28))</f>
        <v>South</v>
      </c>
      <c r="G30" s="22" t="str">
        <f>PROPER(TRIM('RAW Data'!E28))</f>
        <v>Vivek</v>
      </c>
      <c r="H30" s="12"/>
      <c r="I30" s="24">
        <v>4</v>
      </c>
      <c r="J30" s="7">
        <v>25000</v>
      </c>
      <c r="K30" s="8">
        <v>100000</v>
      </c>
      <c r="L30" s="12"/>
      <c r="M30" s="26">
        <v>45820</v>
      </c>
      <c r="N30" s="6" t="s">
        <v>84</v>
      </c>
      <c r="O30" s="6" t="s">
        <v>10</v>
      </c>
      <c r="P30" s="6" t="s">
        <v>11</v>
      </c>
      <c r="Q30" s="6" t="s">
        <v>72</v>
      </c>
      <c r="R30" s="7">
        <v>4</v>
      </c>
      <c r="S30" s="7">
        <v>25000</v>
      </c>
      <c r="T30" s="8">
        <v>100000</v>
      </c>
      <c r="U30" s="12"/>
    </row>
    <row r="31" spans="1:21">
      <c r="A31" s="16" t="s">
        <v>86</v>
      </c>
      <c r="B31" s="17" t="e">
        <f t="shared" si="0"/>
        <v>#VALUE!</v>
      </c>
      <c r="C31" s="18">
        <f>IF(ISNUMBER(B31),B31,DATE(RIGHT(A31,4),MID(A31,4,2),LEFT(A31,2)))</f>
        <v>45683</v>
      </c>
      <c r="D31" s="12"/>
      <c r="E31" s="16" t="str">
        <f>PROPER(TRIM('RAW Data'!C29))</f>
        <v>Tablet</v>
      </c>
      <c r="F31" s="6" t="str">
        <f>PROPER(TRIM('RAW Data'!D29))</f>
        <v>East</v>
      </c>
      <c r="G31" s="22" t="str">
        <f>PROPER(TRIM('RAW Data'!E29))</f>
        <v>Tina</v>
      </c>
      <c r="H31" s="12"/>
      <c r="I31" s="24">
        <v>37</v>
      </c>
      <c r="J31" s="7">
        <v>50000</v>
      </c>
      <c r="K31" s="8">
        <v>1850000</v>
      </c>
      <c r="L31" s="12"/>
      <c r="M31" s="26">
        <v>45683</v>
      </c>
      <c r="N31" s="6" t="s">
        <v>87</v>
      </c>
      <c r="O31" s="6" t="s">
        <v>19</v>
      </c>
      <c r="P31" s="6" t="s">
        <v>29</v>
      </c>
      <c r="Q31" s="6" t="s">
        <v>38</v>
      </c>
      <c r="R31" s="7">
        <v>37</v>
      </c>
      <c r="S31" s="7">
        <v>50000</v>
      </c>
      <c r="T31" s="8">
        <v>1850000</v>
      </c>
      <c r="U31" s="12"/>
    </row>
    <row r="32" spans="1:21">
      <c r="A32" s="16" t="s">
        <v>88</v>
      </c>
      <c r="B32" s="17">
        <f t="shared" si="0"/>
        <v>45837</v>
      </c>
      <c r="C32" s="18">
        <f>IF(ISNUMBER(B32),B32,DATE(RIGHT(A32,4),MID(A32,4,2),LEFT(A32,2)))</f>
        <v>45837</v>
      </c>
      <c r="D32" s="12"/>
      <c r="E32" s="16" t="str">
        <f>PROPER(TRIM('RAW Data'!C30))</f>
        <v>Mobile</v>
      </c>
      <c r="F32" s="6" t="str">
        <f>PROPER(TRIM('RAW Data'!D30))</f>
        <v>North</v>
      </c>
      <c r="G32" s="22" t="str">
        <f>PROPER(TRIM('RAW Data'!E30))</f>
        <v>Amit</v>
      </c>
      <c r="H32" s="12"/>
      <c r="I32" s="24">
        <v>13</v>
      </c>
      <c r="J32" s="7">
        <v>30000</v>
      </c>
      <c r="K32" s="8">
        <v>390000</v>
      </c>
      <c r="L32" s="12"/>
      <c r="M32" s="26">
        <v>45837</v>
      </c>
      <c r="N32" s="6" t="s">
        <v>89</v>
      </c>
      <c r="O32" s="6" t="s">
        <v>23</v>
      </c>
      <c r="P32" s="6" t="s">
        <v>24</v>
      </c>
      <c r="Q32" s="6" t="s">
        <v>16</v>
      </c>
      <c r="R32" s="7">
        <v>13</v>
      </c>
      <c r="S32" s="7">
        <v>30000</v>
      </c>
      <c r="T32" s="8">
        <v>390000</v>
      </c>
      <c r="U32" s="12"/>
    </row>
    <row r="33" spans="1:21">
      <c r="A33" s="16" t="s">
        <v>90</v>
      </c>
      <c r="B33" s="17">
        <f t="shared" si="0"/>
        <v>45834</v>
      </c>
      <c r="C33" s="18">
        <f>IF(ISNUMBER(B33),B33,DATE(RIGHT(A33,4),MID(A33,4,2),LEFT(A33,2)))</f>
        <v>45834</v>
      </c>
      <c r="D33" s="12"/>
      <c r="E33" s="16" t="str">
        <f>PROPER(TRIM('RAW Data'!C31))</f>
        <v>Mobile</v>
      </c>
      <c r="F33" s="6" t="str">
        <f>PROPER(TRIM('RAW Data'!D31))</f>
        <v>North</v>
      </c>
      <c r="G33" s="22" t="str">
        <f>PROPER(TRIM('RAW Data'!E31))</f>
        <v>Sonia</v>
      </c>
      <c r="H33" s="12"/>
      <c r="I33" s="24">
        <v>23</v>
      </c>
      <c r="J33" s="7">
        <v>1200</v>
      </c>
      <c r="K33" s="8">
        <v>27600</v>
      </c>
      <c r="L33" s="12"/>
      <c r="M33" s="26">
        <v>45834</v>
      </c>
      <c r="N33" s="6" t="s">
        <v>91</v>
      </c>
      <c r="O33" s="6" t="s">
        <v>23</v>
      </c>
      <c r="P33" s="6" t="s">
        <v>24</v>
      </c>
      <c r="Q33" s="6" t="s">
        <v>20</v>
      </c>
      <c r="R33" s="7">
        <v>23</v>
      </c>
      <c r="S33" s="7">
        <v>1200</v>
      </c>
      <c r="T33" s="8">
        <v>27600</v>
      </c>
      <c r="U33" s="12"/>
    </row>
    <row r="34" spans="1:21">
      <c r="A34" s="16" t="s">
        <v>92</v>
      </c>
      <c r="B34" s="17">
        <f t="shared" si="0"/>
        <v>45803</v>
      </c>
      <c r="C34" s="18">
        <f>IF(ISNUMBER(B34),B34,DATE(RIGHT(A34,4),MID(A34,4,2),LEFT(A34,2)))</f>
        <v>45803</v>
      </c>
      <c r="D34" s="12"/>
      <c r="E34" s="16" t="str">
        <f>PROPER(TRIM('RAW Data'!C32))</f>
        <v>Tablet</v>
      </c>
      <c r="F34" s="6" t="str">
        <f>PROPER(TRIM('RAW Data'!D32))</f>
        <v>North</v>
      </c>
      <c r="G34" s="22" t="str">
        <f>PROPER(TRIM('RAW Data'!E32))</f>
        <v>Riya</v>
      </c>
      <c r="H34" s="12"/>
      <c r="I34" s="24">
        <v>31</v>
      </c>
      <c r="J34" s="7">
        <v>50000</v>
      </c>
      <c r="K34" s="8">
        <v>1550000</v>
      </c>
      <c r="L34" s="12"/>
      <c r="M34" s="26">
        <v>45803</v>
      </c>
      <c r="N34" s="6" t="s">
        <v>93</v>
      </c>
      <c r="O34" s="6" t="s">
        <v>19</v>
      </c>
      <c r="P34" s="6" t="s">
        <v>24</v>
      </c>
      <c r="Q34" s="6" t="s">
        <v>30</v>
      </c>
      <c r="R34" s="7">
        <v>31</v>
      </c>
      <c r="S34" s="7">
        <v>50000</v>
      </c>
      <c r="T34" s="8">
        <v>1550000</v>
      </c>
      <c r="U34" s="12"/>
    </row>
    <row r="35" spans="1:21">
      <c r="A35" s="16" t="s">
        <v>94</v>
      </c>
      <c r="B35" s="17">
        <f t="shared" si="0"/>
        <v>45789</v>
      </c>
      <c r="C35" s="18">
        <f>IF(ISNUMBER(B35),B35,DATE(RIGHT(A35,4),MID(A35,4,2),LEFT(A35,2)))</f>
        <v>45789</v>
      </c>
      <c r="D35" s="12"/>
      <c r="E35" s="16" t="str">
        <f>PROPER(TRIM('RAW Data'!C33))</f>
        <v>Laptop</v>
      </c>
      <c r="F35" s="6" t="str">
        <f>PROPER(TRIM('RAW Data'!D33))</f>
        <v>South</v>
      </c>
      <c r="G35" s="22" t="str">
        <f>PROPER(TRIM('RAW Data'!E33))</f>
        <v>Vivek</v>
      </c>
      <c r="H35" s="12"/>
      <c r="I35" s="24">
        <v>24</v>
      </c>
      <c r="J35" s="7">
        <v>25000</v>
      </c>
      <c r="K35" s="8">
        <v>600000</v>
      </c>
      <c r="L35" s="12"/>
      <c r="M35" s="26">
        <v>45789</v>
      </c>
      <c r="N35" s="6" t="s">
        <v>95</v>
      </c>
      <c r="O35" s="6" t="s">
        <v>10</v>
      </c>
      <c r="P35" s="6" t="s">
        <v>11</v>
      </c>
      <c r="Q35" s="6" t="s">
        <v>72</v>
      </c>
      <c r="R35" s="7">
        <v>24</v>
      </c>
      <c r="S35" s="7">
        <v>25000</v>
      </c>
      <c r="T35" s="8">
        <v>600000</v>
      </c>
      <c r="U35" s="12"/>
    </row>
    <row r="36" spans="1:21">
      <c r="A36" s="16" t="s">
        <v>96</v>
      </c>
      <c r="B36" s="17" t="e">
        <f t="shared" si="0"/>
        <v>#VALUE!</v>
      </c>
      <c r="C36" s="18">
        <f>IF(ISNUMBER(B36),B36,DATE(RIGHT(A36,4),MID(A36,4,2),LEFT(A36,2)))</f>
        <v>45825</v>
      </c>
      <c r="D36" s="12"/>
      <c r="E36" s="16" t="str">
        <f>PROPER(TRIM('RAW Data'!C34))</f>
        <v>Accessories</v>
      </c>
      <c r="F36" s="6" t="str">
        <f>PROPER(TRIM('RAW Data'!D34))</f>
        <v>South</v>
      </c>
      <c r="G36" s="22" t="str">
        <f>PROPER(TRIM('RAW Data'!E34))</f>
        <v>Karan</v>
      </c>
      <c r="H36" s="12"/>
      <c r="I36" s="24">
        <v>32</v>
      </c>
      <c r="J36" s="7">
        <v>25000</v>
      </c>
      <c r="K36" s="8">
        <v>800000</v>
      </c>
      <c r="L36" s="12"/>
      <c r="M36" s="26">
        <v>45825</v>
      </c>
      <c r="N36" s="6" t="s">
        <v>97</v>
      </c>
      <c r="O36" s="6" t="s">
        <v>15</v>
      </c>
      <c r="P36" s="6" t="s">
        <v>11</v>
      </c>
      <c r="Q36" s="6" t="s">
        <v>33</v>
      </c>
      <c r="R36" s="7">
        <v>32</v>
      </c>
      <c r="S36" s="7">
        <v>25000</v>
      </c>
      <c r="T36" s="8">
        <v>800000</v>
      </c>
      <c r="U36" s="12"/>
    </row>
    <row r="37" spans="1:21">
      <c r="A37" s="16" t="s">
        <v>98</v>
      </c>
      <c r="B37" s="17">
        <f t="shared" si="0"/>
        <v>45810</v>
      </c>
      <c r="C37" s="18">
        <f>IF(ISNUMBER(B37),B37,DATE(RIGHT(A37,4),MID(A37,4,2),LEFT(A37,2)))</f>
        <v>45810</v>
      </c>
      <c r="D37" s="12"/>
      <c r="E37" s="16" t="str">
        <f>PROPER(TRIM('RAW Data'!C35))</f>
        <v>Tablet</v>
      </c>
      <c r="F37" s="6" t="str">
        <f>PROPER(TRIM('RAW Data'!D35))</f>
        <v>South</v>
      </c>
      <c r="G37" s="22" t="str">
        <f>PROPER(TRIM('RAW Data'!E35))</f>
        <v>Vivek</v>
      </c>
      <c r="H37" s="12"/>
      <c r="I37" s="24">
        <v>21</v>
      </c>
      <c r="J37" s="7">
        <v>15000</v>
      </c>
      <c r="K37" s="8">
        <v>315000</v>
      </c>
      <c r="L37" s="12"/>
      <c r="M37" s="26">
        <v>45810</v>
      </c>
      <c r="N37" s="6" t="s">
        <v>99</v>
      </c>
      <c r="O37" s="6" t="s">
        <v>19</v>
      </c>
      <c r="P37" s="6" t="s">
        <v>11</v>
      </c>
      <c r="Q37" s="6" t="s">
        <v>72</v>
      </c>
      <c r="R37" s="7">
        <v>21</v>
      </c>
      <c r="S37" s="7">
        <v>15000</v>
      </c>
      <c r="T37" s="8">
        <v>315000</v>
      </c>
      <c r="U37" s="12"/>
    </row>
    <row r="38" spans="1:21">
      <c r="A38" s="16" t="s">
        <v>100</v>
      </c>
      <c r="B38" s="17">
        <f t="shared" si="0"/>
        <v>45768</v>
      </c>
      <c r="C38" s="18">
        <f>IF(ISNUMBER(B38),B38,DATE(RIGHT(A38,4),MID(A38,4,2),LEFT(A38,2)))</f>
        <v>45768</v>
      </c>
      <c r="D38" s="12"/>
      <c r="E38" s="16" t="str">
        <f>PROPER(TRIM('RAW Data'!C36))</f>
        <v>Accessories</v>
      </c>
      <c r="F38" s="6" t="str">
        <f>PROPER(TRIM('RAW Data'!D36))</f>
        <v>East</v>
      </c>
      <c r="G38" s="22" t="str">
        <f>PROPER(TRIM('RAW Data'!E36))</f>
        <v>Karan</v>
      </c>
      <c r="H38" s="12"/>
      <c r="I38" s="24">
        <v>49</v>
      </c>
      <c r="J38" s="7">
        <v>1200</v>
      </c>
      <c r="K38" s="8">
        <v>58800</v>
      </c>
      <c r="L38" s="12"/>
      <c r="M38" s="26">
        <v>45768</v>
      </c>
      <c r="N38" s="6" t="s">
        <v>101</v>
      </c>
      <c r="O38" s="6" t="s">
        <v>15</v>
      </c>
      <c r="P38" s="6" t="s">
        <v>29</v>
      </c>
      <c r="Q38" s="6" t="s">
        <v>33</v>
      </c>
      <c r="R38" s="7">
        <v>49</v>
      </c>
      <c r="S38" s="7">
        <v>1200</v>
      </c>
      <c r="T38" s="8">
        <v>58800</v>
      </c>
      <c r="U38" s="12"/>
    </row>
    <row r="39" spans="1:21">
      <c r="A39" s="16" t="s">
        <v>102</v>
      </c>
      <c r="B39" s="17">
        <f t="shared" si="0"/>
        <v>45680</v>
      </c>
      <c r="C39" s="18">
        <f>IF(ISNUMBER(B39),B39,DATE(RIGHT(A39,4),MID(A39,4,2),LEFT(A39,2)))</f>
        <v>45680</v>
      </c>
      <c r="D39" s="12"/>
      <c r="E39" s="16" t="str">
        <f>PROPER(TRIM('RAW Data'!C37))</f>
        <v>Laptop</v>
      </c>
      <c r="F39" s="6" t="str">
        <f>PROPER(TRIM('RAW Data'!D37))</f>
        <v>North</v>
      </c>
      <c r="G39" s="22" t="str">
        <f>PROPER(TRIM('RAW Data'!E37))</f>
        <v>Manish</v>
      </c>
      <c r="H39" s="12"/>
      <c r="I39" s="24">
        <v>10</v>
      </c>
      <c r="J39" s="7">
        <v>15000</v>
      </c>
      <c r="K39" s="8">
        <v>150000</v>
      </c>
      <c r="L39" s="12"/>
      <c r="M39" s="26">
        <v>45680</v>
      </c>
      <c r="N39" s="6" t="s">
        <v>103</v>
      </c>
      <c r="O39" s="6" t="s">
        <v>10</v>
      </c>
      <c r="P39" s="6" t="s">
        <v>24</v>
      </c>
      <c r="Q39" s="6" t="s">
        <v>46</v>
      </c>
      <c r="R39" s="7">
        <v>10</v>
      </c>
      <c r="S39" s="7">
        <v>15000</v>
      </c>
      <c r="T39" s="8">
        <v>150000</v>
      </c>
      <c r="U39" s="12"/>
    </row>
    <row r="40" spans="1:21">
      <c r="A40" s="16" t="s">
        <v>104</v>
      </c>
      <c r="B40" s="17">
        <f t="shared" si="0"/>
        <v>45780</v>
      </c>
      <c r="C40" s="18">
        <f>IF(ISNUMBER(B40),B40,DATE(RIGHT(A40,4),MID(A40,4,2),LEFT(A40,2)))</f>
        <v>45780</v>
      </c>
      <c r="D40" s="12"/>
      <c r="E40" s="16" t="str">
        <f>PROPER(TRIM('RAW Data'!C38))</f>
        <v>Accessories</v>
      </c>
      <c r="F40" s="6" t="str">
        <f>PROPER(TRIM('RAW Data'!D38))</f>
        <v>North</v>
      </c>
      <c r="G40" s="22" t="str">
        <f>PROPER(TRIM('RAW Data'!E38))</f>
        <v>Riya</v>
      </c>
      <c r="H40" s="12"/>
      <c r="I40" s="24">
        <v>43</v>
      </c>
      <c r="J40" s="7">
        <v>50000</v>
      </c>
      <c r="K40" s="8">
        <v>2150000</v>
      </c>
      <c r="L40" s="12"/>
      <c r="M40" s="26">
        <v>45780</v>
      </c>
      <c r="N40" s="6" t="s">
        <v>105</v>
      </c>
      <c r="O40" s="6" t="s">
        <v>15</v>
      </c>
      <c r="P40" s="6" t="s">
        <v>24</v>
      </c>
      <c r="Q40" s="6" t="s">
        <v>30</v>
      </c>
      <c r="R40" s="7">
        <v>43</v>
      </c>
      <c r="S40" s="7">
        <v>50000</v>
      </c>
      <c r="T40" s="8">
        <v>2150000</v>
      </c>
      <c r="U40" s="12"/>
    </row>
    <row r="41" spans="1:21">
      <c r="A41" s="16" t="s">
        <v>106</v>
      </c>
      <c r="B41" s="17">
        <f t="shared" si="0"/>
        <v>45836</v>
      </c>
      <c r="C41" s="18">
        <f>IF(ISNUMBER(B41),B41,DATE(RIGHT(A41,4),MID(A41,4,2),LEFT(A41,2)))</f>
        <v>45836</v>
      </c>
      <c r="D41" s="12"/>
      <c r="E41" s="16" t="str">
        <f>PROPER(TRIM('RAW Data'!C39))</f>
        <v>Accessories</v>
      </c>
      <c r="F41" s="6" t="str">
        <f>PROPER(TRIM('RAW Data'!D39))</f>
        <v>West</v>
      </c>
      <c r="G41" s="22" t="str">
        <f>PROPER(TRIM('RAW Data'!E39))</f>
        <v>Tina</v>
      </c>
      <c r="H41" s="12"/>
      <c r="I41" s="24">
        <v>36</v>
      </c>
      <c r="J41" s="7">
        <v>1200</v>
      </c>
      <c r="K41" s="8">
        <v>43200</v>
      </c>
      <c r="L41" s="12"/>
      <c r="M41" s="26">
        <v>45836</v>
      </c>
      <c r="N41" s="6" t="s">
        <v>107</v>
      </c>
      <c r="O41" s="6" t="s">
        <v>15</v>
      </c>
      <c r="P41" s="6" t="s">
        <v>51</v>
      </c>
      <c r="Q41" s="6" t="s">
        <v>38</v>
      </c>
      <c r="R41" s="7">
        <v>36</v>
      </c>
      <c r="S41" s="7">
        <v>1200</v>
      </c>
      <c r="T41" s="8">
        <v>43200</v>
      </c>
      <c r="U41" s="12"/>
    </row>
    <row r="42" spans="1:21">
      <c r="A42" s="16" t="s">
        <v>108</v>
      </c>
      <c r="B42" s="17" t="e">
        <f t="shared" si="0"/>
        <v>#VALUE!</v>
      </c>
      <c r="C42" s="18">
        <f>IF(ISNUMBER(B42),B42,DATE(RIGHT(A42,4),MID(A42,4,2),LEFT(A42,2)))</f>
        <v>45830</v>
      </c>
      <c r="D42" s="12"/>
      <c r="E42" s="16" t="str">
        <f>PROPER(TRIM('RAW Data'!C40))</f>
        <v>Laptop</v>
      </c>
      <c r="F42" s="6" t="str">
        <f>PROPER(TRIM('RAW Data'!D40))</f>
        <v>North</v>
      </c>
      <c r="G42" s="22" t="str">
        <f>PROPER(TRIM('RAW Data'!E40))</f>
        <v>Riya</v>
      </c>
      <c r="H42" s="12"/>
      <c r="I42" s="24">
        <v>17</v>
      </c>
      <c r="J42" s="7">
        <v>25000</v>
      </c>
      <c r="K42" s="8">
        <v>425000</v>
      </c>
      <c r="L42" s="12"/>
      <c r="M42" s="26">
        <v>45830</v>
      </c>
      <c r="N42" s="6" t="s">
        <v>109</v>
      </c>
      <c r="O42" s="6" t="s">
        <v>10</v>
      </c>
      <c r="P42" s="6" t="s">
        <v>24</v>
      </c>
      <c r="Q42" s="6" t="s">
        <v>30</v>
      </c>
      <c r="R42" s="7">
        <v>17</v>
      </c>
      <c r="S42" s="7">
        <v>25000</v>
      </c>
      <c r="T42" s="8">
        <v>425000</v>
      </c>
      <c r="U42" s="12"/>
    </row>
    <row r="43" spans="1:21">
      <c r="A43" s="16" t="s">
        <v>110</v>
      </c>
      <c r="B43" s="17">
        <f t="shared" si="0"/>
        <v>45996</v>
      </c>
      <c r="C43" s="18">
        <f>IF(ISNUMBER(B43),B43,DATE(RIGHT(A43,4),MID(A43,4,2),LEFT(A43,2)))</f>
        <v>45996</v>
      </c>
      <c r="D43" s="12"/>
      <c r="E43" s="16" t="str">
        <f>PROPER(TRIM('RAW Data'!C41))</f>
        <v>Mobile</v>
      </c>
      <c r="F43" s="6" t="str">
        <f>PROPER(TRIM('RAW Data'!D41))</f>
        <v>West</v>
      </c>
      <c r="G43" s="22" t="str">
        <f>PROPER(TRIM('RAW Data'!E41))</f>
        <v>Neha</v>
      </c>
      <c r="H43" s="12"/>
      <c r="I43" s="24">
        <v>16</v>
      </c>
      <c r="J43" s="7">
        <v>50000</v>
      </c>
      <c r="K43" s="8">
        <v>800000</v>
      </c>
      <c r="L43" s="12"/>
      <c r="M43" s="26">
        <v>45996</v>
      </c>
      <c r="N43" s="6" t="s">
        <v>111</v>
      </c>
      <c r="O43" s="6" t="s">
        <v>23</v>
      </c>
      <c r="P43" s="6" t="s">
        <v>51</v>
      </c>
      <c r="Q43" s="6" t="s">
        <v>25</v>
      </c>
      <c r="R43" s="7">
        <v>16</v>
      </c>
      <c r="S43" s="7">
        <v>50000</v>
      </c>
      <c r="T43" s="8">
        <v>800000</v>
      </c>
      <c r="U43" s="12"/>
    </row>
    <row r="44" spans="1:21">
      <c r="A44" s="16" t="s">
        <v>112</v>
      </c>
      <c r="B44" s="17" t="e">
        <f t="shared" si="0"/>
        <v>#VALUE!</v>
      </c>
      <c r="C44" s="18">
        <f>IF(ISNUMBER(B44),B44,DATE(RIGHT(A44,4),MID(A44,4,2),LEFT(A44,2)))</f>
        <v>45760</v>
      </c>
      <c r="D44" s="12"/>
      <c r="E44" s="16" t="str">
        <f>PROPER(TRIM('RAW Data'!C42))</f>
        <v>Laptop</v>
      </c>
      <c r="F44" s="6" t="str">
        <f>PROPER(TRIM('RAW Data'!D42))</f>
        <v>West</v>
      </c>
      <c r="G44" s="22" t="str">
        <f>PROPER(TRIM('RAW Data'!E42))</f>
        <v/>
      </c>
      <c r="H44" s="12"/>
      <c r="I44" s="24">
        <v>30</v>
      </c>
      <c r="J44" s="7">
        <v>800</v>
      </c>
      <c r="K44" s="8">
        <v>24000</v>
      </c>
      <c r="L44" s="12"/>
      <c r="M44" s="26">
        <v>45760</v>
      </c>
      <c r="N44" s="6" t="s">
        <v>113</v>
      </c>
      <c r="O44" s="6" t="s">
        <v>10</v>
      </c>
      <c r="P44" s="6" t="s">
        <v>51</v>
      </c>
      <c r="Q44" s="6" t="s">
        <v>411</v>
      </c>
      <c r="R44" s="7">
        <v>30</v>
      </c>
      <c r="S44" s="7">
        <v>800</v>
      </c>
      <c r="T44" s="8">
        <v>24000</v>
      </c>
      <c r="U44" s="12"/>
    </row>
    <row r="45" spans="1:21">
      <c r="A45" s="16" t="s">
        <v>114</v>
      </c>
      <c r="B45" s="17">
        <f t="shared" si="0"/>
        <v>45794</v>
      </c>
      <c r="C45" s="18">
        <f>IF(ISNUMBER(B45),B45,DATE(RIGHT(A45,4),MID(A45,4,2),LEFT(A45,2)))</f>
        <v>45794</v>
      </c>
      <c r="D45" s="12"/>
      <c r="E45" s="16" t="str">
        <f>PROPER(TRIM('RAW Data'!C43))</f>
        <v>Moblie</v>
      </c>
      <c r="F45" s="6" t="str">
        <f>PROPER(TRIM('RAW Data'!D43))</f>
        <v/>
      </c>
      <c r="G45" s="22" t="str">
        <f>PROPER(TRIM('RAW Data'!E43))</f>
        <v>Manish</v>
      </c>
      <c r="H45" s="12"/>
      <c r="I45" s="24">
        <v>3</v>
      </c>
      <c r="J45" s="7">
        <v>800</v>
      </c>
      <c r="K45" s="8">
        <v>2400</v>
      </c>
      <c r="L45" s="12"/>
      <c r="M45" s="26">
        <v>45794</v>
      </c>
      <c r="N45" s="6" t="s">
        <v>115</v>
      </c>
      <c r="O45" s="6" t="s">
        <v>116</v>
      </c>
      <c r="P45" s="6" t="s">
        <v>411</v>
      </c>
      <c r="Q45" s="6" t="s">
        <v>46</v>
      </c>
      <c r="R45" s="7">
        <v>3</v>
      </c>
      <c r="S45" s="7">
        <v>800</v>
      </c>
      <c r="T45" s="8">
        <v>2400</v>
      </c>
      <c r="U45" s="12"/>
    </row>
    <row r="46" spans="1:21">
      <c r="A46" s="16" t="s">
        <v>118</v>
      </c>
      <c r="B46" s="17">
        <f t="shared" si="0"/>
        <v>45712</v>
      </c>
      <c r="C46" s="18">
        <f>IF(ISNUMBER(B46),B46,DATE(RIGHT(A46,4),MID(A46,4,2),LEFT(A46,2)))</f>
        <v>45712</v>
      </c>
      <c r="D46" s="12"/>
      <c r="E46" s="16" t="str">
        <f>PROPER(TRIM('RAW Data'!C44))</f>
        <v>Laptop</v>
      </c>
      <c r="F46" s="6" t="str">
        <f>PROPER(TRIM('RAW Data'!D44))</f>
        <v>North</v>
      </c>
      <c r="G46" s="22" t="str">
        <f>PROPER(TRIM('RAW Data'!E44))</f>
        <v>Amit</v>
      </c>
      <c r="H46" s="12"/>
      <c r="I46" s="24">
        <v>40</v>
      </c>
      <c r="J46" s="7">
        <v>25000</v>
      </c>
      <c r="K46" s="8">
        <v>1000000</v>
      </c>
      <c r="L46" s="12"/>
      <c r="M46" s="26">
        <v>45712</v>
      </c>
      <c r="N46" s="6" t="s">
        <v>119</v>
      </c>
      <c r="O46" s="6" t="s">
        <v>10</v>
      </c>
      <c r="P46" s="6" t="s">
        <v>24</v>
      </c>
      <c r="Q46" s="6" t="s">
        <v>16</v>
      </c>
      <c r="R46" s="7">
        <v>40</v>
      </c>
      <c r="S46" s="7">
        <v>25000</v>
      </c>
      <c r="T46" s="8">
        <v>1000000</v>
      </c>
      <c r="U46" s="12"/>
    </row>
    <row r="47" spans="1:21">
      <c r="A47" s="16" t="s">
        <v>120</v>
      </c>
      <c r="B47" s="17">
        <f t="shared" si="0"/>
        <v>45727</v>
      </c>
      <c r="C47" s="18">
        <f>IF(ISNUMBER(B47),B47,DATE(RIGHT(A47,4),MID(A47,4,2),LEFT(A47,2)))</f>
        <v>45727</v>
      </c>
      <c r="D47" s="12"/>
      <c r="E47" s="16" t="str">
        <f>PROPER(TRIM('RAW Data'!C45))</f>
        <v>Mobile</v>
      </c>
      <c r="F47" s="6" t="str">
        <f>PROPER(TRIM('RAW Data'!D45))</f>
        <v>South</v>
      </c>
      <c r="G47" s="22" t="str">
        <f>PROPER(TRIM('RAW Data'!E45))</f>
        <v>Neha</v>
      </c>
      <c r="H47" s="12"/>
      <c r="I47" s="24">
        <v>7</v>
      </c>
      <c r="J47" s="7">
        <v>30000</v>
      </c>
      <c r="K47" s="8">
        <v>210000</v>
      </c>
      <c r="L47" s="12"/>
      <c r="M47" s="26">
        <v>45727</v>
      </c>
      <c r="N47" s="6" t="s">
        <v>121</v>
      </c>
      <c r="O47" s="6" t="s">
        <v>23</v>
      </c>
      <c r="P47" s="6" t="s">
        <v>11</v>
      </c>
      <c r="Q47" s="6" t="s">
        <v>25</v>
      </c>
      <c r="R47" s="7">
        <v>7</v>
      </c>
      <c r="S47" s="7">
        <v>30000</v>
      </c>
      <c r="T47" s="8">
        <v>210000</v>
      </c>
      <c r="U47" s="12"/>
    </row>
    <row r="48" spans="1:21">
      <c r="A48" s="16" t="s">
        <v>122</v>
      </c>
      <c r="B48" s="17">
        <f t="shared" si="0"/>
        <v>45832</v>
      </c>
      <c r="C48" s="18">
        <f>IF(ISNUMBER(B48),B48,DATE(RIGHT(A48,4),MID(A48,4,2),LEFT(A48,2)))</f>
        <v>45832</v>
      </c>
      <c r="D48" s="12"/>
      <c r="E48" s="16" t="str">
        <f>PROPER(TRIM('RAW Data'!C46))</f>
        <v>Mobile</v>
      </c>
      <c r="F48" s="6" t="str">
        <f>PROPER(TRIM('RAW Data'!D46))</f>
        <v>East</v>
      </c>
      <c r="G48" s="22" t="str">
        <f>PROPER(TRIM('RAW Data'!E46))</f>
        <v>Riya</v>
      </c>
      <c r="H48" s="12"/>
      <c r="I48" s="24">
        <v>13</v>
      </c>
      <c r="J48" s="7">
        <v>30000</v>
      </c>
      <c r="K48" s="8">
        <v>390000</v>
      </c>
      <c r="L48" s="12"/>
      <c r="M48" s="26">
        <v>45832</v>
      </c>
      <c r="N48" s="6" t="s">
        <v>123</v>
      </c>
      <c r="O48" s="6" t="s">
        <v>23</v>
      </c>
      <c r="P48" s="6" t="s">
        <v>29</v>
      </c>
      <c r="Q48" s="6" t="s">
        <v>30</v>
      </c>
      <c r="R48" s="7">
        <v>13</v>
      </c>
      <c r="S48" s="7">
        <v>30000</v>
      </c>
      <c r="T48" s="8">
        <v>390000</v>
      </c>
      <c r="U48" s="12"/>
    </row>
    <row r="49" spans="1:21">
      <c r="A49" s="16" t="s">
        <v>124</v>
      </c>
      <c r="B49" s="17">
        <f t="shared" si="0"/>
        <v>45705</v>
      </c>
      <c r="C49" s="18">
        <f>IF(ISNUMBER(B49),B49,DATE(RIGHT(A49,4),MID(A49,4,2),LEFT(A49,2)))</f>
        <v>45705</v>
      </c>
      <c r="D49" s="12"/>
      <c r="E49" s="16" t="str">
        <f>PROPER(TRIM('RAW Data'!C47))</f>
        <v>Mobile</v>
      </c>
      <c r="F49" s="6" t="str">
        <f>PROPER(TRIM('RAW Data'!D47))</f>
        <v>South</v>
      </c>
      <c r="G49" s="22" t="str">
        <f>PROPER(TRIM('RAW Data'!E47))</f>
        <v>Rohit</v>
      </c>
      <c r="H49" s="12"/>
      <c r="I49" s="24">
        <v>29</v>
      </c>
      <c r="J49" s="7">
        <v>1200</v>
      </c>
      <c r="K49" s="8">
        <v>34800</v>
      </c>
      <c r="L49" s="12"/>
      <c r="M49" s="26">
        <v>45705</v>
      </c>
      <c r="N49" s="6" t="s">
        <v>125</v>
      </c>
      <c r="O49" s="6" t="s">
        <v>23</v>
      </c>
      <c r="P49" s="6" t="s">
        <v>11</v>
      </c>
      <c r="Q49" s="6" t="s">
        <v>12</v>
      </c>
      <c r="R49" s="7">
        <v>29</v>
      </c>
      <c r="S49" s="7">
        <v>1200</v>
      </c>
      <c r="T49" s="8">
        <v>34800</v>
      </c>
      <c r="U49" s="12"/>
    </row>
    <row r="50" spans="1:21">
      <c r="A50" s="16" t="s">
        <v>126</v>
      </c>
      <c r="B50" s="17">
        <f t="shared" si="0"/>
        <v>45677</v>
      </c>
      <c r="C50" s="18">
        <f>IF(ISNUMBER(B50),B50,DATE(RIGHT(A50,4),MID(A50,4,2),LEFT(A50,2)))</f>
        <v>45677</v>
      </c>
      <c r="D50" s="12"/>
      <c r="E50" s="16" t="str">
        <f>PROPER(TRIM('RAW Data'!C48))</f>
        <v>Laptop</v>
      </c>
      <c r="F50" s="6" t="str">
        <f>PROPER(TRIM('RAW Data'!D48))</f>
        <v>West</v>
      </c>
      <c r="G50" s="22" t="str">
        <f>PROPER(TRIM('RAW Data'!E48))</f>
        <v>Riya</v>
      </c>
      <c r="H50" s="12"/>
      <c r="I50" s="24">
        <v>45</v>
      </c>
      <c r="J50" s="7">
        <v>30000</v>
      </c>
      <c r="K50" s="8">
        <v>1350000</v>
      </c>
      <c r="L50" s="12"/>
      <c r="M50" s="26">
        <v>45677</v>
      </c>
      <c r="N50" s="6" t="s">
        <v>127</v>
      </c>
      <c r="O50" s="6" t="s">
        <v>10</v>
      </c>
      <c r="P50" s="6" t="s">
        <v>51</v>
      </c>
      <c r="Q50" s="6" t="s">
        <v>30</v>
      </c>
      <c r="R50" s="7">
        <v>45</v>
      </c>
      <c r="S50" s="7">
        <v>30000</v>
      </c>
      <c r="T50" s="8">
        <v>1350000</v>
      </c>
      <c r="U50" s="12"/>
    </row>
    <row r="51" spans="1:21">
      <c r="A51" s="16" t="s">
        <v>128</v>
      </c>
      <c r="B51" s="17">
        <f t="shared" si="0"/>
        <v>45812</v>
      </c>
      <c r="C51" s="18">
        <f>IF(ISNUMBER(B51),B51,DATE(RIGHT(A51,4),MID(A51,4,2),LEFT(A51,2)))</f>
        <v>45812</v>
      </c>
      <c r="D51" s="12"/>
      <c r="E51" s="16" t="str">
        <f>PROPER(TRIM('RAW Data'!C49))</f>
        <v>Laptop</v>
      </c>
      <c r="F51" s="6" t="str">
        <f>PROPER(TRIM('RAW Data'!D49))</f>
        <v>South</v>
      </c>
      <c r="G51" s="22" t="str">
        <f>PROPER(TRIM('RAW Data'!E49))</f>
        <v>Vivek</v>
      </c>
      <c r="H51" s="12"/>
      <c r="I51" s="24">
        <v>45</v>
      </c>
      <c r="J51" s="7">
        <v>15000</v>
      </c>
      <c r="K51" s="8">
        <v>675000</v>
      </c>
      <c r="L51" s="12"/>
      <c r="M51" s="26">
        <v>45812</v>
      </c>
      <c r="N51" s="6" t="s">
        <v>129</v>
      </c>
      <c r="O51" s="6" t="s">
        <v>10</v>
      </c>
      <c r="P51" s="6" t="s">
        <v>11</v>
      </c>
      <c r="Q51" s="6" t="s">
        <v>72</v>
      </c>
      <c r="R51" s="7">
        <v>45</v>
      </c>
      <c r="S51" s="7">
        <v>15000</v>
      </c>
      <c r="T51" s="8">
        <v>675000</v>
      </c>
      <c r="U51" s="12"/>
    </row>
    <row r="52" spans="1:21">
      <c r="A52" s="16" t="s">
        <v>130</v>
      </c>
      <c r="B52" s="17">
        <f t="shared" si="0"/>
        <v>45732</v>
      </c>
      <c r="C52" s="18">
        <f>IF(ISNUMBER(B52),B52,DATE(RIGHT(A52,4),MID(A52,4,2),LEFT(A52,2)))</f>
        <v>45732</v>
      </c>
      <c r="D52" s="12"/>
      <c r="E52" s="16" t="str">
        <f>PROPER(TRIM('RAW Data'!C50))</f>
        <v>Accessories</v>
      </c>
      <c r="F52" s="6" t="str">
        <f>PROPER(TRIM('RAW Data'!D50))</f>
        <v>South</v>
      </c>
      <c r="G52" s="22" t="str">
        <f>PROPER(TRIM('RAW Data'!E50))</f>
        <v>Sonia</v>
      </c>
      <c r="H52" s="12"/>
      <c r="I52" s="24">
        <v>19</v>
      </c>
      <c r="J52" s="7">
        <v>800</v>
      </c>
      <c r="K52" s="8">
        <v>15200</v>
      </c>
      <c r="L52" s="12"/>
      <c r="M52" s="26">
        <v>45732</v>
      </c>
      <c r="N52" s="6" t="s">
        <v>131</v>
      </c>
      <c r="O52" s="6" t="s">
        <v>15</v>
      </c>
      <c r="P52" s="6" t="s">
        <v>11</v>
      </c>
      <c r="Q52" s="6" t="s">
        <v>20</v>
      </c>
      <c r="R52" s="7">
        <v>19</v>
      </c>
      <c r="S52" s="7">
        <v>800</v>
      </c>
      <c r="T52" s="8">
        <v>15200</v>
      </c>
      <c r="U52" s="12"/>
    </row>
    <row r="53" spans="1:21">
      <c r="A53" s="16" t="s">
        <v>132</v>
      </c>
      <c r="B53" s="17">
        <f t="shared" si="0"/>
        <v>45703</v>
      </c>
      <c r="C53" s="18">
        <f>IF(ISNUMBER(B53),B53,DATE(RIGHT(A53,4),MID(A53,4,2),LEFT(A53,2)))</f>
        <v>45703</v>
      </c>
      <c r="D53" s="12"/>
      <c r="E53" s="16" t="str">
        <f>PROPER(TRIM('RAW Data'!C51))</f>
        <v>Tablet</v>
      </c>
      <c r="F53" s="6" t="str">
        <f>PROPER(TRIM('RAW Data'!D51))</f>
        <v>West</v>
      </c>
      <c r="G53" s="22" t="str">
        <f>PROPER(TRIM('RAW Data'!E51))</f>
        <v>Rohit</v>
      </c>
      <c r="H53" s="12"/>
      <c r="I53" s="24">
        <v>47</v>
      </c>
      <c r="J53" s="7">
        <v>25000</v>
      </c>
      <c r="K53" s="8">
        <v>1175000</v>
      </c>
      <c r="L53" s="12"/>
      <c r="M53" s="26">
        <v>45703</v>
      </c>
      <c r="N53" s="6" t="s">
        <v>133</v>
      </c>
      <c r="O53" s="6" t="s">
        <v>19</v>
      </c>
      <c r="P53" s="6" t="s">
        <v>51</v>
      </c>
      <c r="Q53" s="6" t="s">
        <v>12</v>
      </c>
      <c r="R53" s="7">
        <v>47</v>
      </c>
      <c r="S53" s="7">
        <v>25000</v>
      </c>
      <c r="T53" s="8">
        <v>1175000</v>
      </c>
      <c r="U53" s="12"/>
    </row>
    <row r="54" spans="1:21">
      <c r="A54" s="16" t="s">
        <v>134</v>
      </c>
      <c r="B54" s="17" t="e">
        <f t="shared" si="0"/>
        <v>#VALUE!</v>
      </c>
      <c r="C54" s="18">
        <f>IF(ISNUMBER(B54),B54,DATE(RIGHT(A54,4),MID(A54,4,2),LEFT(A54,2)))</f>
        <v>45732</v>
      </c>
      <c r="D54" s="12"/>
      <c r="E54" s="16" t="str">
        <f>PROPER(TRIM('RAW Data'!C52))</f>
        <v>Mobile</v>
      </c>
      <c r="F54" s="6" t="str">
        <f>PROPER(TRIM('RAW Data'!D52))</f>
        <v>East</v>
      </c>
      <c r="G54" s="22" t="str">
        <f>PROPER(TRIM('RAW Data'!E52))</f>
        <v>Karan</v>
      </c>
      <c r="H54" s="12"/>
      <c r="I54" s="24">
        <v>10</v>
      </c>
      <c r="J54" s="7">
        <v>800</v>
      </c>
      <c r="K54" s="8">
        <v>7346</v>
      </c>
      <c r="L54" s="12"/>
      <c r="M54" s="26">
        <v>45732</v>
      </c>
      <c r="N54" s="6" t="s">
        <v>135</v>
      </c>
      <c r="O54" s="6" t="s">
        <v>23</v>
      </c>
      <c r="P54" s="6" t="s">
        <v>29</v>
      </c>
      <c r="Q54" s="6" t="s">
        <v>33</v>
      </c>
      <c r="R54" s="7">
        <v>10</v>
      </c>
      <c r="S54" s="7">
        <v>800</v>
      </c>
      <c r="T54" s="8">
        <v>7346</v>
      </c>
      <c r="U54" s="12"/>
    </row>
    <row r="55" spans="1:21">
      <c r="A55" s="16" t="s">
        <v>136</v>
      </c>
      <c r="B55" s="17">
        <f t="shared" si="0"/>
        <v>45815</v>
      </c>
      <c r="C55" s="18">
        <f>IF(ISNUMBER(B55),B55,DATE(RIGHT(A55,4),MID(A55,4,2),LEFT(A55,2)))</f>
        <v>45815</v>
      </c>
      <c r="D55" s="12"/>
      <c r="E55" s="16" t="str">
        <f>PROPER(TRIM('RAW Data'!C53))</f>
        <v>Laptop</v>
      </c>
      <c r="F55" s="6" t="str">
        <f>PROPER(TRIM('RAW Data'!D53))</f>
        <v/>
      </c>
      <c r="G55" s="22" t="str">
        <f>PROPER(TRIM('RAW Data'!E53))</f>
        <v>Amit</v>
      </c>
      <c r="H55" s="12"/>
      <c r="I55" s="24">
        <v>42</v>
      </c>
      <c r="J55" s="7">
        <v>15000</v>
      </c>
      <c r="K55" s="8">
        <v>630000</v>
      </c>
      <c r="L55" s="12"/>
      <c r="M55" s="26">
        <v>45815</v>
      </c>
      <c r="N55" s="6" t="s">
        <v>137</v>
      </c>
      <c r="O55" s="6" t="s">
        <v>10</v>
      </c>
      <c r="P55" s="6" t="s">
        <v>411</v>
      </c>
      <c r="Q55" s="6" t="s">
        <v>16</v>
      </c>
      <c r="R55" s="7">
        <v>42</v>
      </c>
      <c r="S55" s="7">
        <v>15000</v>
      </c>
      <c r="T55" s="8">
        <v>630000</v>
      </c>
      <c r="U55" s="12"/>
    </row>
    <row r="56" spans="1:21">
      <c r="A56" s="16" t="s">
        <v>36</v>
      </c>
      <c r="B56" s="17">
        <f t="shared" si="0"/>
        <v>45751</v>
      </c>
      <c r="C56" s="18">
        <f>IF(ISNUMBER(B56),B56,DATE(RIGHT(A56,4),MID(A56,4,2),LEFT(A56,2)))</f>
        <v>45751</v>
      </c>
      <c r="D56" s="12"/>
      <c r="E56" s="16" t="str">
        <f>PROPER(TRIM('RAW Data'!C54))</f>
        <v>Mobile</v>
      </c>
      <c r="F56" s="6" t="str">
        <f>PROPER(TRIM('RAW Data'!D54))</f>
        <v>West</v>
      </c>
      <c r="G56" s="22" t="str">
        <f>PROPER(TRIM('RAW Data'!E54))</f>
        <v>Priya</v>
      </c>
      <c r="H56" s="12"/>
      <c r="I56" s="24">
        <v>19</v>
      </c>
      <c r="J56" s="7">
        <v>800</v>
      </c>
      <c r="K56" s="8">
        <v>15200</v>
      </c>
      <c r="L56" s="12"/>
      <c r="M56" s="26">
        <v>45751</v>
      </c>
      <c r="N56" s="6" t="s">
        <v>138</v>
      </c>
      <c r="O56" s="6" t="s">
        <v>23</v>
      </c>
      <c r="P56" s="6" t="s">
        <v>51</v>
      </c>
      <c r="Q56" s="6" t="s">
        <v>61</v>
      </c>
      <c r="R56" s="7">
        <v>19</v>
      </c>
      <c r="S56" s="7">
        <v>800</v>
      </c>
      <c r="T56" s="8">
        <v>15200</v>
      </c>
      <c r="U56" s="12"/>
    </row>
    <row r="57" spans="1:21">
      <c r="A57" s="16" t="s">
        <v>139</v>
      </c>
      <c r="B57" s="17">
        <f t="shared" si="0"/>
        <v>45686</v>
      </c>
      <c r="C57" s="18">
        <f>IF(ISNUMBER(B57),B57,DATE(RIGHT(A57,4),MID(A57,4,2),LEFT(A57,2)))</f>
        <v>45686</v>
      </c>
      <c r="D57" s="12"/>
      <c r="E57" s="16" t="str">
        <f>PROPER(TRIM('RAW Data'!C55))</f>
        <v>Accessories</v>
      </c>
      <c r="F57" s="6" t="str">
        <f>PROPER(TRIM('RAW Data'!D55))</f>
        <v/>
      </c>
      <c r="G57" s="22" t="str">
        <f>PROPER(TRIM('RAW Data'!E55))</f>
        <v/>
      </c>
      <c r="H57" s="12"/>
      <c r="I57" s="24">
        <v>49</v>
      </c>
      <c r="J57" s="7">
        <v>50000</v>
      </c>
      <c r="K57" s="8">
        <v>2450000</v>
      </c>
      <c r="L57" s="12"/>
      <c r="M57" s="26">
        <v>45686</v>
      </c>
      <c r="N57" s="6" t="s">
        <v>140</v>
      </c>
      <c r="O57" s="6" t="s">
        <v>15</v>
      </c>
      <c r="P57" s="6" t="s">
        <v>411</v>
      </c>
      <c r="Q57" s="6" t="s">
        <v>411</v>
      </c>
      <c r="R57" s="7">
        <v>49</v>
      </c>
      <c r="S57" s="7">
        <v>50000</v>
      </c>
      <c r="T57" s="8">
        <v>2450000</v>
      </c>
      <c r="U57" s="12"/>
    </row>
    <row r="58" spans="1:21">
      <c r="A58" s="16" t="s">
        <v>141</v>
      </c>
      <c r="B58" s="17">
        <f t="shared" si="0"/>
        <v>45819</v>
      </c>
      <c r="C58" s="18">
        <f>IF(ISNUMBER(B58),B58,DATE(RIGHT(A58,4),MID(A58,4,2),LEFT(A58,2)))</f>
        <v>45819</v>
      </c>
      <c r="D58" s="12"/>
      <c r="E58" s="16" t="str">
        <f>PROPER(TRIM('RAW Data'!C56))</f>
        <v>Lapotp</v>
      </c>
      <c r="F58" s="6" t="str">
        <f>PROPER(TRIM('RAW Data'!D56))</f>
        <v>East</v>
      </c>
      <c r="G58" s="22" t="str">
        <f>PROPER(TRIM('RAW Data'!E56))</f>
        <v>Rohit</v>
      </c>
      <c r="H58" s="12"/>
      <c r="I58" s="24">
        <v>14</v>
      </c>
      <c r="J58" s="7">
        <v>15000</v>
      </c>
      <c r="K58" s="8">
        <v>210000</v>
      </c>
      <c r="L58" s="12"/>
      <c r="M58" s="26">
        <v>45819</v>
      </c>
      <c r="N58" s="6" t="s">
        <v>142</v>
      </c>
      <c r="O58" s="6" t="s">
        <v>143</v>
      </c>
      <c r="P58" s="6" t="s">
        <v>29</v>
      </c>
      <c r="Q58" s="6" t="s">
        <v>12</v>
      </c>
      <c r="R58" s="7">
        <v>14</v>
      </c>
      <c r="S58" s="7">
        <v>15000</v>
      </c>
      <c r="T58" s="8">
        <v>210000</v>
      </c>
      <c r="U58" s="12"/>
    </row>
    <row r="59" spans="1:21">
      <c r="A59" s="16" t="s">
        <v>144</v>
      </c>
      <c r="B59" s="17">
        <f t="shared" si="0"/>
        <v>45804</v>
      </c>
      <c r="C59" s="18">
        <f>IF(ISNUMBER(B59),B59,DATE(RIGHT(A59,4),MID(A59,4,2),LEFT(A59,2)))</f>
        <v>45804</v>
      </c>
      <c r="D59" s="12"/>
      <c r="E59" s="16" t="str">
        <f>PROPER(TRIM('RAW Data'!C57))</f>
        <v>Mobile</v>
      </c>
      <c r="F59" s="6" t="str">
        <f>PROPER(TRIM('RAW Data'!D57))</f>
        <v>West</v>
      </c>
      <c r="G59" s="22" t="str">
        <f>PROPER(TRIM('RAW Data'!E57))</f>
        <v>Sonia</v>
      </c>
      <c r="H59" s="12"/>
      <c r="I59" s="24">
        <v>10</v>
      </c>
      <c r="J59" s="7">
        <v>1200</v>
      </c>
      <c r="K59" s="8">
        <v>12000</v>
      </c>
      <c r="L59" s="12"/>
      <c r="M59" s="26">
        <v>45804</v>
      </c>
      <c r="N59" s="6" t="s">
        <v>145</v>
      </c>
      <c r="O59" s="6" t="s">
        <v>23</v>
      </c>
      <c r="P59" s="6" t="s">
        <v>51</v>
      </c>
      <c r="Q59" s="6" t="s">
        <v>20</v>
      </c>
      <c r="R59" s="7">
        <v>10</v>
      </c>
      <c r="S59" s="7">
        <v>1200</v>
      </c>
      <c r="T59" s="8">
        <v>12000</v>
      </c>
      <c r="U59" s="12"/>
    </row>
    <row r="60" spans="1:21">
      <c r="A60" s="16" t="s">
        <v>146</v>
      </c>
      <c r="B60" s="17" t="e">
        <f t="shared" si="0"/>
        <v>#VALUE!</v>
      </c>
      <c r="C60" s="18">
        <f>IF(ISNUMBER(B60),B60,DATE(RIGHT(A60,4),MID(A60,4,2),LEFT(A60,2)))</f>
        <v>45734</v>
      </c>
      <c r="D60" s="12"/>
      <c r="E60" s="16" t="str">
        <f>PROPER(TRIM('RAW Data'!C58))</f>
        <v>Tablet</v>
      </c>
      <c r="F60" s="6" t="str">
        <f>PROPER(TRIM('RAW Data'!D58))</f>
        <v>North</v>
      </c>
      <c r="G60" s="22" t="str">
        <f>PROPER(TRIM('RAW Data'!E58))</f>
        <v>Sonia</v>
      </c>
      <c r="H60" s="12"/>
      <c r="I60" s="24">
        <v>24</v>
      </c>
      <c r="J60" s="7">
        <v>30000</v>
      </c>
      <c r="K60" s="8">
        <v>720000</v>
      </c>
      <c r="L60" s="12"/>
      <c r="M60" s="26">
        <v>45734</v>
      </c>
      <c r="N60" s="6" t="s">
        <v>147</v>
      </c>
      <c r="O60" s="6" t="s">
        <v>19</v>
      </c>
      <c r="P60" s="6" t="s">
        <v>24</v>
      </c>
      <c r="Q60" s="6" t="s">
        <v>20</v>
      </c>
      <c r="R60" s="7">
        <v>24</v>
      </c>
      <c r="S60" s="7">
        <v>30000</v>
      </c>
      <c r="T60" s="8">
        <v>720000</v>
      </c>
      <c r="U60" s="12"/>
    </row>
    <row r="61" spans="1:21">
      <c r="A61" s="16" t="s">
        <v>148</v>
      </c>
      <c r="B61" s="17">
        <f t="shared" si="0"/>
        <v>45711</v>
      </c>
      <c r="C61" s="18">
        <f>IF(ISNUMBER(B61),B61,DATE(RIGHT(A61,4),MID(A61,4,2),LEFT(A61,2)))</f>
        <v>45711</v>
      </c>
      <c r="D61" s="12"/>
      <c r="E61" s="16" t="str">
        <f>PROPER(TRIM('RAW Data'!C59))</f>
        <v>Laptop</v>
      </c>
      <c r="F61" s="6" t="str">
        <f>PROPER(TRIM('RAW Data'!D59))</f>
        <v>West</v>
      </c>
      <c r="G61" s="22" t="str">
        <f>PROPER(TRIM('RAW Data'!E59))</f>
        <v>Sonia</v>
      </c>
      <c r="H61" s="12"/>
      <c r="I61" s="24">
        <v>23</v>
      </c>
      <c r="J61" s="7">
        <v>25000</v>
      </c>
      <c r="K61" s="8">
        <v>575000</v>
      </c>
      <c r="L61" s="12"/>
      <c r="M61" s="26">
        <v>45711</v>
      </c>
      <c r="N61" s="6" t="s">
        <v>149</v>
      </c>
      <c r="O61" s="6" t="s">
        <v>10</v>
      </c>
      <c r="P61" s="6" t="s">
        <v>51</v>
      </c>
      <c r="Q61" s="6" t="s">
        <v>20</v>
      </c>
      <c r="R61" s="7">
        <v>23</v>
      </c>
      <c r="S61" s="7">
        <v>25000</v>
      </c>
      <c r="T61" s="8">
        <v>575000</v>
      </c>
      <c r="U61" s="12"/>
    </row>
    <row r="62" spans="1:21">
      <c r="A62" s="16" t="s">
        <v>21</v>
      </c>
      <c r="B62" s="17">
        <f t="shared" si="0"/>
        <v>45693</v>
      </c>
      <c r="C62" s="18">
        <f>IF(ISNUMBER(B62),B62,DATE(RIGHT(A62,4),MID(A62,4,2),LEFT(A62,2)))</f>
        <v>45693</v>
      </c>
      <c r="D62" s="12"/>
      <c r="E62" s="16" t="str">
        <f>PROPER(TRIM('RAW Data'!C60))</f>
        <v>Laptop</v>
      </c>
      <c r="F62" s="6" t="str">
        <f>PROPER(TRIM('RAW Data'!D60))</f>
        <v>West</v>
      </c>
      <c r="G62" s="22" t="str">
        <f>PROPER(TRIM('RAW Data'!E60))</f>
        <v>Vivek</v>
      </c>
      <c r="H62" s="12"/>
      <c r="I62" s="24">
        <v>7</v>
      </c>
      <c r="J62" s="7">
        <v>25000</v>
      </c>
      <c r="K62" s="8">
        <v>175000</v>
      </c>
      <c r="L62" s="12"/>
      <c r="M62" s="26">
        <v>45693</v>
      </c>
      <c r="N62" s="6" t="s">
        <v>150</v>
      </c>
      <c r="O62" s="6" t="s">
        <v>10</v>
      </c>
      <c r="P62" s="6" t="s">
        <v>51</v>
      </c>
      <c r="Q62" s="6" t="s">
        <v>72</v>
      </c>
      <c r="R62" s="7">
        <v>7</v>
      </c>
      <c r="S62" s="7">
        <v>25000</v>
      </c>
      <c r="T62" s="8">
        <v>175000</v>
      </c>
      <c r="U62" s="12"/>
    </row>
    <row r="63" spans="1:21">
      <c r="A63" s="16" t="s">
        <v>151</v>
      </c>
      <c r="B63" s="17" t="e">
        <f t="shared" si="0"/>
        <v>#VALUE!</v>
      </c>
      <c r="C63" s="18">
        <f>IF(ISNUMBER(B63),B63,DATE(RIGHT(A63,4),MID(A63,4,2),LEFT(A63,2)))</f>
        <v>45769</v>
      </c>
      <c r="D63" s="12"/>
      <c r="E63" s="16" t="str">
        <f>PROPER(TRIM('RAW Data'!C61))</f>
        <v>Tablet</v>
      </c>
      <c r="F63" s="6" t="str">
        <f>PROPER(TRIM('RAW Data'!D61))</f>
        <v/>
      </c>
      <c r="G63" s="22" t="str">
        <f>PROPER(TRIM('RAW Data'!E61))</f>
        <v>Tina</v>
      </c>
      <c r="H63" s="12"/>
      <c r="I63" s="24">
        <v>48</v>
      </c>
      <c r="J63" s="7">
        <v>25000</v>
      </c>
      <c r="K63" s="8">
        <v>1200000</v>
      </c>
      <c r="L63" s="12"/>
      <c r="M63" s="26">
        <v>45769</v>
      </c>
      <c r="N63" s="6" t="s">
        <v>152</v>
      </c>
      <c r="O63" s="6" t="s">
        <v>19</v>
      </c>
      <c r="P63" s="6" t="s">
        <v>411</v>
      </c>
      <c r="Q63" s="6" t="s">
        <v>38</v>
      </c>
      <c r="R63" s="7">
        <v>48</v>
      </c>
      <c r="S63" s="7">
        <v>25000</v>
      </c>
      <c r="T63" s="8">
        <v>1200000</v>
      </c>
      <c r="U63" s="12"/>
    </row>
    <row r="64" spans="1:21">
      <c r="A64" s="16" t="s">
        <v>153</v>
      </c>
      <c r="B64" s="17">
        <f t="shared" si="0"/>
        <v>45875</v>
      </c>
      <c r="C64" s="18">
        <f>IF(ISNUMBER(B64),B64,DATE(RIGHT(A64,4),MID(A64,4,2),LEFT(A64,2)))</f>
        <v>45875</v>
      </c>
      <c r="D64" s="12"/>
      <c r="E64" s="16" t="str">
        <f>PROPER(TRIM('RAW Data'!C62))</f>
        <v>Mobile</v>
      </c>
      <c r="F64" s="6" t="str">
        <f>PROPER(TRIM('RAW Data'!D62))</f>
        <v>West</v>
      </c>
      <c r="G64" s="22" t="str">
        <f>PROPER(TRIM('RAW Data'!E62))</f>
        <v>Sonia</v>
      </c>
      <c r="H64" s="12"/>
      <c r="I64" s="24">
        <v>14</v>
      </c>
      <c r="J64" s="7">
        <v>1200</v>
      </c>
      <c r="K64" s="8">
        <v>16800</v>
      </c>
      <c r="L64" s="12"/>
      <c r="M64" s="26">
        <v>45875</v>
      </c>
      <c r="N64" s="6" t="s">
        <v>154</v>
      </c>
      <c r="O64" s="6" t="s">
        <v>23</v>
      </c>
      <c r="P64" s="6" t="s">
        <v>51</v>
      </c>
      <c r="Q64" s="6" t="s">
        <v>20</v>
      </c>
      <c r="R64" s="7">
        <v>14</v>
      </c>
      <c r="S64" s="7">
        <v>1200</v>
      </c>
      <c r="T64" s="8">
        <v>16800</v>
      </c>
      <c r="U64" s="12"/>
    </row>
    <row r="65" spans="1:21">
      <c r="A65" s="16" t="s">
        <v>155</v>
      </c>
      <c r="B65" s="17">
        <f t="shared" si="0"/>
        <v>45803</v>
      </c>
      <c r="C65" s="18">
        <f>IF(ISNUMBER(B65),B65,DATE(RIGHT(A65,4),MID(A65,4,2),LEFT(A65,2)))</f>
        <v>45803</v>
      </c>
      <c r="D65" s="12"/>
      <c r="E65" s="16" t="str">
        <f>PROPER(TRIM('RAW Data'!C63))</f>
        <v>Accessories</v>
      </c>
      <c r="F65" s="6" t="str">
        <f>PROPER(TRIM('RAW Data'!D63))</f>
        <v>North</v>
      </c>
      <c r="G65" s="22" t="str">
        <f>PROPER(TRIM('RAW Data'!E63))</f>
        <v>Riya</v>
      </c>
      <c r="H65" s="12"/>
      <c r="I65" s="24">
        <v>21</v>
      </c>
      <c r="J65" s="7">
        <v>30000</v>
      </c>
      <c r="K65" s="8">
        <v>630000</v>
      </c>
      <c r="L65" s="12"/>
      <c r="M65" s="26">
        <v>45803</v>
      </c>
      <c r="N65" s="6" t="s">
        <v>156</v>
      </c>
      <c r="O65" s="6" t="s">
        <v>15</v>
      </c>
      <c r="P65" s="6" t="s">
        <v>24</v>
      </c>
      <c r="Q65" s="6" t="s">
        <v>30</v>
      </c>
      <c r="R65" s="7">
        <v>21</v>
      </c>
      <c r="S65" s="7">
        <v>30000</v>
      </c>
      <c r="T65" s="8">
        <v>630000</v>
      </c>
      <c r="U65" s="12"/>
    </row>
    <row r="66" spans="1:21">
      <c r="A66" s="16" t="s">
        <v>157</v>
      </c>
      <c r="B66" s="17">
        <f t="shared" si="0"/>
        <v>45658</v>
      </c>
      <c r="C66" s="18">
        <f>IF(ISNUMBER(B66),B66,DATE(RIGHT(A66,4),MID(A66,4,2),LEFT(A66,2)))</f>
        <v>45658</v>
      </c>
      <c r="D66" s="12"/>
      <c r="E66" s="16" t="str">
        <f>PROPER(TRIM('RAW Data'!C64))</f>
        <v>Laptop</v>
      </c>
      <c r="F66" s="6" t="str">
        <f>PROPER(TRIM('RAW Data'!D64))</f>
        <v>North</v>
      </c>
      <c r="G66" s="22" t="str">
        <f>PROPER(TRIM('RAW Data'!E64))</f>
        <v>Karan</v>
      </c>
      <c r="H66" s="12"/>
      <c r="I66" s="24">
        <v>31</v>
      </c>
      <c r="J66" s="7">
        <v>1200</v>
      </c>
      <c r="K66" s="8">
        <v>37200</v>
      </c>
      <c r="L66" s="12"/>
      <c r="M66" s="26">
        <v>45658</v>
      </c>
      <c r="N66" s="6" t="s">
        <v>158</v>
      </c>
      <c r="O66" s="6" t="s">
        <v>10</v>
      </c>
      <c r="P66" s="6" t="s">
        <v>24</v>
      </c>
      <c r="Q66" s="6" t="s">
        <v>33</v>
      </c>
      <c r="R66" s="7">
        <v>31</v>
      </c>
      <c r="S66" s="7">
        <v>1200</v>
      </c>
      <c r="T66" s="8">
        <v>37200</v>
      </c>
      <c r="U66" s="12"/>
    </row>
    <row r="67" spans="1:21">
      <c r="A67" s="16" t="s">
        <v>132</v>
      </c>
      <c r="B67" s="17">
        <f t="shared" si="0"/>
        <v>45703</v>
      </c>
      <c r="C67" s="18">
        <f>IF(ISNUMBER(B67),B67,DATE(RIGHT(A67,4),MID(A67,4,2),LEFT(A67,2)))</f>
        <v>45703</v>
      </c>
      <c r="D67" s="12"/>
      <c r="E67" s="16" t="str">
        <f>PROPER(TRIM('RAW Data'!C65))</f>
        <v>Mobile</v>
      </c>
      <c r="F67" s="6" t="str">
        <f>PROPER(TRIM('RAW Data'!D65))</f>
        <v>West</v>
      </c>
      <c r="G67" s="22" t="str">
        <f>PROPER(TRIM('RAW Data'!E65))</f>
        <v>Sonia</v>
      </c>
      <c r="H67" s="12"/>
      <c r="I67" s="24">
        <v>44</v>
      </c>
      <c r="J67" s="7">
        <v>30000</v>
      </c>
      <c r="K67" s="8">
        <v>1320000</v>
      </c>
      <c r="L67" s="12"/>
      <c r="M67" s="26">
        <v>45703</v>
      </c>
      <c r="N67" s="6" t="s">
        <v>159</v>
      </c>
      <c r="O67" s="6" t="s">
        <v>23</v>
      </c>
      <c r="P67" s="6" t="s">
        <v>51</v>
      </c>
      <c r="Q67" s="6" t="s">
        <v>20</v>
      </c>
      <c r="R67" s="7">
        <v>44</v>
      </c>
      <c r="S67" s="7">
        <v>30000</v>
      </c>
      <c r="T67" s="8">
        <v>1320000</v>
      </c>
      <c r="U67" s="12"/>
    </row>
    <row r="68" spans="1:21">
      <c r="A68" s="16" t="s">
        <v>160</v>
      </c>
      <c r="B68" s="17">
        <f t="shared" si="0"/>
        <v>45781</v>
      </c>
      <c r="C68" s="18">
        <f>IF(ISNUMBER(B68),B68,DATE(RIGHT(A68,4),MID(A68,4,2),LEFT(A68,2)))</f>
        <v>45781</v>
      </c>
      <c r="D68" s="12"/>
      <c r="E68" s="16" t="str">
        <f>PROPER(TRIM('RAW Data'!C66))</f>
        <v>Mobile</v>
      </c>
      <c r="F68" s="6" t="str">
        <f>PROPER(TRIM('RAW Data'!D66))</f>
        <v>South</v>
      </c>
      <c r="G68" s="22" t="str">
        <f>PROPER(TRIM('RAW Data'!E66))</f>
        <v>Neha</v>
      </c>
      <c r="H68" s="12"/>
      <c r="I68" s="24">
        <v>15</v>
      </c>
      <c r="J68" s="7">
        <v>30000</v>
      </c>
      <c r="K68" s="8">
        <v>450000</v>
      </c>
      <c r="L68" s="12"/>
      <c r="M68" s="26">
        <v>45781</v>
      </c>
      <c r="N68" s="6" t="s">
        <v>161</v>
      </c>
      <c r="O68" s="6" t="s">
        <v>23</v>
      </c>
      <c r="P68" s="6" t="s">
        <v>11</v>
      </c>
      <c r="Q68" s="6" t="s">
        <v>25</v>
      </c>
      <c r="R68" s="7">
        <v>15</v>
      </c>
      <c r="S68" s="7">
        <v>30000</v>
      </c>
      <c r="T68" s="8">
        <v>450000</v>
      </c>
      <c r="U68" s="12"/>
    </row>
    <row r="69" spans="1:21">
      <c r="A69" s="16" t="s">
        <v>162</v>
      </c>
      <c r="B69" s="17">
        <f t="shared" ref="B69:B132" si="1">VALUE(A69)</f>
        <v>45786</v>
      </c>
      <c r="C69" s="18">
        <f>IF(ISNUMBER(B69),B69,DATE(RIGHT(A69,4),MID(A69,4,2),LEFT(A69,2)))</f>
        <v>45786</v>
      </c>
      <c r="D69" s="12"/>
      <c r="E69" s="16" t="str">
        <f>PROPER(TRIM('RAW Data'!C67))</f>
        <v>Tablet</v>
      </c>
      <c r="F69" s="6" t="str">
        <f>PROPER(TRIM('RAW Data'!D67))</f>
        <v>South</v>
      </c>
      <c r="G69" s="22" t="str">
        <f>PROPER(TRIM('RAW Data'!E67))</f>
        <v>Tina</v>
      </c>
      <c r="H69" s="12"/>
      <c r="I69" s="24">
        <v>8</v>
      </c>
      <c r="J69" s="7">
        <v>15000</v>
      </c>
      <c r="K69" s="8">
        <v>120000</v>
      </c>
      <c r="L69" s="12"/>
      <c r="M69" s="26">
        <v>45786</v>
      </c>
      <c r="N69" s="6" t="s">
        <v>163</v>
      </c>
      <c r="O69" s="6" t="s">
        <v>19</v>
      </c>
      <c r="P69" s="6" t="s">
        <v>11</v>
      </c>
      <c r="Q69" s="6" t="s">
        <v>38</v>
      </c>
      <c r="R69" s="7">
        <v>8</v>
      </c>
      <c r="S69" s="7">
        <v>15000</v>
      </c>
      <c r="T69" s="8">
        <v>120000</v>
      </c>
      <c r="U69" s="12"/>
    </row>
    <row r="70" spans="1:21">
      <c r="A70" s="16" t="s">
        <v>164</v>
      </c>
      <c r="B70" s="17">
        <f t="shared" si="1"/>
        <v>45664</v>
      </c>
      <c r="C70" s="18">
        <f>IF(ISNUMBER(B70),B70,DATE(RIGHT(A70,4),MID(A70,4,2),LEFT(A70,2)))</f>
        <v>45664</v>
      </c>
      <c r="D70" s="12"/>
      <c r="E70" s="16" t="str">
        <f>PROPER(TRIM('RAW Data'!C68))</f>
        <v>Moblie</v>
      </c>
      <c r="F70" s="6" t="str">
        <f>PROPER(TRIM('RAW Data'!D68))</f>
        <v>South</v>
      </c>
      <c r="G70" s="22" t="str">
        <f>PROPER(TRIM('RAW Data'!E68))</f>
        <v>Priya</v>
      </c>
      <c r="H70" s="12"/>
      <c r="I70" s="24">
        <v>5</v>
      </c>
      <c r="J70" s="7">
        <v>25000</v>
      </c>
      <c r="K70" s="8">
        <v>125000</v>
      </c>
      <c r="L70" s="12"/>
      <c r="M70" s="26">
        <v>45664</v>
      </c>
      <c r="N70" s="6" t="s">
        <v>165</v>
      </c>
      <c r="O70" s="6" t="s">
        <v>116</v>
      </c>
      <c r="P70" s="6" t="s">
        <v>11</v>
      </c>
      <c r="Q70" s="6" t="s">
        <v>61</v>
      </c>
      <c r="R70" s="7">
        <v>5</v>
      </c>
      <c r="S70" s="7">
        <v>25000</v>
      </c>
      <c r="T70" s="8">
        <v>125000</v>
      </c>
      <c r="U70" s="12"/>
    </row>
    <row r="71" spans="1:21">
      <c r="A71" s="16" t="s">
        <v>166</v>
      </c>
      <c r="B71" s="17">
        <f t="shared" si="1"/>
        <v>45826</v>
      </c>
      <c r="C71" s="18">
        <f>IF(ISNUMBER(B71),B71,DATE(RIGHT(A71,4),MID(A71,4,2),LEFT(A71,2)))</f>
        <v>45826</v>
      </c>
      <c r="D71" s="12"/>
      <c r="E71" s="16" t="str">
        <f>PROPER(TRIM('RAW Data'!C69))</f>
        <v>Laptop</v>
      </c>
      <c r="F71" s="6" t="str">
        <f>PROPER(TRIM('RAW Data'!D69))</f>
        <v/>
      </c>
      <c r="G71" s="22" t="str">
        <f>PROPER(TRIM('RAW Data'!E69))</f>
        <v>Neha</v>
      </c>
      <c r="H71" s="12"/>
      <c r="I71" s="24">
        <v>27</v>
      </c>
      <c r="J71" s="7">
        <v>15000</v>
      </c>
      <c r="K71" s="8">
        <v>405000</v>
      </c>
      <c r="L71" s="12"/>
      <c r="M71" s="26">
        <v>45826</v>
      </c>
      <c r="N71" s="6" t="s">
        <v>167</v>
      </c>
      <c r="O71" s="6" t="s">
        <v>10</v>
      </c>
      <c r="P71" s="6" t="s">
        <v>411</v>
      </c>
      <c r="Q71" s="6" t="s">
        <v>25</v>
      </c>
      <c r="R71" s="7">
        <v>27</v>
      </c>
      <c r="S71" s="7">
        <v>15000</v>
      </c>
      <c r="T71" s="8">
        <v>405000</v>
      </c>
      <c r="U71" s="12"/>
    </row>
    <row r="72" spans="1:21">
      <c r="A72" s="16" t="s">
        <v>168</v>
      </c>
      <c r="B72" s="17" t="e">
        <f t="shared" si="1"/>
        <v>#VALUE!</v>
      </c>
      <c r="C72" s="18">
        <f>IF(ISNUMBER(B72),B72,DATE(RIGHT(A72,4),MID(A72,4,2),LEFT(A72,2)))</f>
        <v>45672</v>
      </c>
      <c r="D72" s="12"/>
      <c r="E72" s="16" t="str">
        <f>PROPER(TRIM('RAW Data'!C70))</f>
        <v>Accessories</v>
      </c>
      <c r="F72" s="6" t="str">
        <f>PROPER(TRIM('RAW Data'!D70))</f>
        <v>South</v>
      </c>
      <c r="G72" s="22" t="str">
        <f>PROPER(TRIM('RAW Data'!E70))</f>
        <v>Manish</v>
      </c>
      <c r="H72" s="12"/>
      <c r="I72" s="24">
        <v>17</v>
      </c>
      <c r="J72" s="7">
        <v>25000</v>
      </c>
      <c r="K72" s="8">
        <v>425000</v>
      </c>
      <c r="L72" s="12"/>
      <c r="M72" s="26">
        <v>45672</v>
      </c>
      <c r="N72" s="6" t="s">
        <v>169</v>
      </c>
      <c r="O72" s="6" t="s">
        <v>15</v>
      </c>
      <c r="P72" s="6" t="s">
        <v>11</v>
      </c>
      <c r="Q72" s="6" t="s">
        <v>46</v>
      </c>
      <c r="R72" s="7">
        <v>17</v>
      </c>
      <c r="S72" s="7">
        <v>25000</v>
      </c>
      <c r="T72" s="8">
        <v>425000</v>
      </c>
      <c r="U72" s="12"/>
    </row>
    <row r="73" spans="1:21">
      <c r="A73" s="16" t="s">
        <v>170</v>
      </c>
      <c r="B73" s="17">
        <f t="shared" si="1"/>
        <v>45692</v>
      </c>
      <c r="C73" s="18">
        <f>IF(ISNUMBER(B73),B73,DATE(RIGHT(A73,4),MID(A73,4,2),LEFT(A73,2)))</f>
        <v>45692</v>
      </c>
      <c r="D73" s="12"/>
      <c r="E73" s="16" t="str">
        <f>PROPER(TRIM('RAW Data'!C71))</f>
        <v>Mobile</v>
      </c>
      <c r="F73" s="6" t="str">
        <f>PROPER(TRIM('RAW Data'!D71))</f>
        <v>South</v>
      </c>
      <c r="G73" s="22" t="str">
        <f>PROPER(TRIM('RAW Data'!E71))</f>
        <v>Priya</v>
      </c>
      <c r="H73" s="12"/>
      <c r="I73" s="24">
        <v>8</v>
      </c>
      <c r="J73" s="7">
        <v>25000</v>
      </c>
      <c r="K73" s="8">
        <v>200000</v>
      </c>
      <c r="L73" s="12"/>
      <c r="M73" s="26">
        <v>45692</v>
      </c>
      <c r="N73" s="6" t="s">
        <v>171</v>
      </c>
      <c r="O73" s="6" t="s">
        <v>23</v>
      </c>
      <c r="P73" s="6" t="s">
        <v>11</v>
      </c>
      <c r="Q73" s="6" t="s">
        <v>61</v>
      </c>
      <c r="R73" s="7">
        <v>8</v>
      </c>
      <c r="S73" s="7">
        <v>25000</v>
      </c>
      <c r="T73" s="8">
        <v>200000</v>
      </c>
      <c r="U73" s="12"/>
    </row>
    <row r="74" spans="1:21">
      <c r="A74" s="16" t="s">
        <v>172</v>
      </c>
      <c r="B74" s="17" t="e">
        <f t="shared" si="1"/>
        <v>#VALUE!</v>
      </c>
      <c r="C74" s="18">
        <f>IF(ISNUMBER(B74),B74,DATE(RIGHT(A74,4),MID(A74,4,2),LEFT(A74,2)))</f>
        <v>45765</v>
      </c>
      <c r="D74" s="12"/>
      <c r="E74" s="16" t="str">
        <f>PROPER(TRIM('RAW Data'!C72))</f>
        <v>Laptop</v>
      </c>
      <c r="F74" s="6" t="str">
        <f>PROPER(TRIM('RAW Data'!D72))</f>
        <v>South</v>
      </c>
      <c r="G74" s="22" t="str">
        <f>PROPER(TRIM('RAW Data'!E72))</f>
        <v>Priya</v>
      </c>
      <c r="H74" s="12"/>
      <c r="I74" s="24">
        <v>2</v>
      </c>
      <c r="J74" s="7">
        <v>50000</v>
      </c>
      <c r="K74" s="8">
        <v>100000</v>
      </c>
      <c r="L74" s="12"/>
      <c r="M74" s="26">
        <v>45765</v>
      </c>
      <c r="N74" s="6" t="s">
        <v>173</v>
      </c>
      <c r="O74" s="6" t="s">
        <v>10</v>
      </c>
      <c r="P74" s="6" t="s">
        <v>11</v>
      </c>
      <c r="Q74" s="6" t="s">
        <v>61</v>
      </c>
      <c r="R74" s="7">
        <v>2</v>
      </c>
      <c r="S74" s="7">
        <v>50000</v>
      </c>
      <c r="T74" s="8">
        <v>100000</v>
      </c>
      <c r="U74" s="12"/>
    </row>
    <row r="75" spans="1:21">
      <c r="A75" s="16" t="s">
        <v>174</v>
      </c>
      <c r="B75" s="17" t="e">
        <f t="shared" si="1"/>
        <v>#VALUE!</v>
      </c>
      <c r="C75" s="18">
        <f>IF(ISNUMBER(B75),B75,DATE(RIGHT(A75,4),MID(A75,4,2),LEFT(A75,2)))</f>
        <v>45684</v>
      </c>
      <c r="D75" s="12"/>
      <c r="E75" s="16" t="str">
        <f>PROPER(TRIM('RAW Data'!C73))</f>
        <v>Tablet</v>
      </c>
      <c r="F75" s="6" t="str">
        <f>PROPER(TRIM('RAW Data'!D73))</f>
        <v/>
      </c>
      <c r="G75" s="22" t="str">
        <f>PROPER(TRIM('RAW Data'!E73))</f>
        <v>Sonia</v>
      </c>
      <c r="H75" s="12"/>
      <c r="I75" s="24">
        <v>40</v>
      </c>
      <c r="J75" s="7">
        <v>1200</v>
      </c>
      <c r="K75" s="8">
        <v>48000</v>
      </c>
      <c r="L75" s="12"/>
      <c r="M75" s="26">
        <v>45684</v>
      </c>
      <c r="N75" s="6" t="s">
        <v>175</v>
      </c>
      <c r="O75" s="6" t="s">
        <v>19</v>
      </c>
      <c r="P75" s="6" t="s">
        <v>411</v>
      </c>
      <c r="Q75" s="6" t="s">
        <v>20</v>
      </c>
      <c r="R75" s="7">
        <v>40</v>
      </c>
      <c r="S75" s="7">
        <v>1200</v>
      </c>
      <c r="T75" s="8">
        <v>48000</v>
      </c>
      <c r="U75" s="12"/>
    </row>
    <row r="76" spans="1:21">
      <c r="A76" s="16" t="s">
        <v>177</v>
      </c>
      <c r="B76" s="17">
        <f t="shared" si="1"/>
        <v>45783</v>
      </c>
      <c r="C76" s="18">
        <f>IF(ISNUMBER(B76),B76,DATE(RIGHT(A76,4),MID(A76,4,2),LEFT(A76,2)))</f>
        <v>45783</v>
      </c>
      <c r="D76" s="12"/>
      <c r="E76" s="16" t="str">
        <f>PROPER(TRIM('RAW Data'!C74))</f>
        <v>Laptop</v>
      </c>
      <c r="F76" s="6" t="str">
        <f>PROPER(TRIM('RAW Data'!D74))</f>
        <v>West</v>
      </c>
      <c r="G76" s="22" t="str">
        <f>PROPER(TRIM('RAW Data'!E74))</f>
        <v>Vivek</v>
      </c>
      <c r="H76" s="12"/>
      <c r="I76" s="24">
        <v>34</v>
      </c>
      <c r="J76" s="7">
        <v>800</v>
      </c>
      <c r="K76" s="8">
        <v>27200</v>
      </c>
      <c r="L76" s="12"/>
      <c r="M76" s="26">
        <v>45783</v>
      </c>
      <c r="N76" s="6" t="s">
        <v>178</v>
      </c>
      <c r="O76" s="6" t="s">
        <v>10</v>
      </c>
      <c r="P76" s="6" t="s">
        <v>51</v>
      </c>
      <c r="Q76" s="6" t="s">
        <v>72</v>
      </c>
      <c r="R76" s="7">
        <v>34</v>
      </c>
      <c r="S76" s="7">
        <v>800</v>
      </c>
      <c r="T76" s="8">
        <v>27200</v>
      </c>
      <c r="U76" s="12"/>
    </row>
    <row r="77" spans="1:21">
      <c r="A77" s="16" t="s">
        <v>179</v>
      </c>
      <c r="B77" s="17">
        <f t="shared" si="1"/>
        <v>45701</v>
      </c>
      <c r="C77" s="18">
        <f>IF(ISNUMBER(B77),B77,DATE(RIGHT(A77,4),MID(A77,4,2),LEFT(A77,2)))</f>
        <v>45701</v>
      </c>
      <c r="D77" s="12"/>
      <c r="E77" s="16" t="str">
        <f>PROPER(TRIM('RAW Data'!C75))</f>
        <v>Mobile</v>
      </c>
      <c r="F77" s="6" t="str">
        <f>PROPER(TRIM('RAW Data'!D75))</f>
        <v>East</v>
      </c>
      <c r="G77" s="22" t="str">
        <f>PROPER(TRIM('RAW Data'!E75))</f>
        <v>Tina</v>
      </c>
      <c r="H77" s="12"/>
      <c r="I77" s="24">
        <v>33</v>
      </c>
      <c r="J77" s="7">
        <v>25000</v>
      </c>
      <c r="K77" s="8">
        <v>825000</v>
      </c>
      <c r="L77" s="12"/>
      <c r="M77" s="26">
        <v>45701</v>
      </c>
      <c r="N77" s="6" t="s">
        <v>180</v>
      </c>
      <c r="O77" s="6" t="s">
        <v>23</v>
      </c>
      <c r="P77" s="6" t="s">
        <v>29</v>
      </c>
      <c r="Q77" s="6" t="s">
        <v>38</v>
      </c>
      <c r="R77" s="7">
        <v>33</v>
      </c>
      <c r="S77" s="7">
        <v>25000</v>
      </c>
      <c r="T77" s="8">
        <v>825000</v>
      </c>
      <c r="U77" s="12"/>
    </row>
    <row r="78" spans="1:21">
      <c r="A78" s="16" t="s">
        <v>181</v>
      </c>
      <c r="B78" s="17">
        <f t="shared" si="1"/>
        <v>45788</v>
      </c>
      <c r="C78" s="18">
        <f>IF(ISNUMBER(B78),B78,DATE(RIGHT(A78,4),MID(A78,4,2),LEFT(A78,2)))</f>
        <v>45788</v>
      </c>
      <c r="D78" s="12"/>
      <c r="E78" s="16" t="str">
        <f>PROPER(TRIM('RAW Data'!C76))</f>
        <v>Accessories</v>
      </c>
      <c r="F78" s="6" t="str">
        <f>PROPER(TRIM('RAW Data'!D76))</f>
        <v>North</v>
      </c>
      <c r="G78" s="22" t="str">
        <f>PROPER(TRIM('RAW Data'!E76))</f>
        <v>Rohit</v>
      </c>
      <c r="H78" s="12"/>
      <c r="I78" s="24">
        <v>34</v>
      </c>
      <c r="J78" s="7">
        <v>1200</v>
      </c>
      <c r="K78" s="8">
        <v>40800</v>
      </c>
      <c r="L78" s="12"/>
      <c r="M78" s="26">
        <v>45788</v>
      </c>
      <c r="N78" s="6" t="s">
        <v>182</v>
      </c>
      <c r="O78" s="6" t="s">
        <v>15</v>
      </c>
      <c r="P78" s="6" t="s">
        <v>24</v>
      </c>
      <c r="Q78" s="6" t="s">
        <v>12</v>
      </c>
      <c r="R78" s="7">
        <v>34</v>
      </c>
      <c r="S78" s="7">
        <v>1200</v>
      </c>
      <c r="T78" s="8">
        <v>40800</v>
      </c>
      <c r="U78" s="12"/>
    </row>
    <row r="79" spans="1:21">
      <c r="A79" s="16" t="s">
        <v>181</v>
      </c>
      <c r="B79" s="17">
        <f t="shared" si="1"/>
        <v>45788</v>
      </c>
      <c r="C79" s="18">
        <f>IF(ISNUMBER(B79),B79,DATE(RIGHT(A79,4),MID(A79,4,2),LEFT(A79,2)))</f>
        <v>45788</v>
      </c>
      <c r="D79" s="12"/>
      <c r="E79" s="16" t="str">
        <f>PROPER(TRIM('RAW Data'!C77))</f>
        <v>Accessories</v>
      </c>
      <c r="F79" s="6" t="str">
        <f>PROPER(TRIM('RAW Data'!D77))</f>
        <v>East</v>
      </c>
      <c r="G79" s="22" t="str">
        <f>PROPER(TRIM('RAW Data'!E77))</f>
        <v>Tina</v>
      </c>
      <c r="H79" s="12"/>
      <c r="I79" s="24">
        <v>6</v>
      </c>
      <c r="J79" s="7">
        <v>25000</v>
      </c>
      <c r="K79" s="8">
        <v>150000</v>
      </c>
      <c r="L79" s="12"/>
      <c r="M79" s="26">
        <v>45788</v>
      </c>
      <c r="N79" s="6" t="s">
        <v>184</v>
      </c>
      <c r="O79" s="6" t="s">
        <v>15</v>
      </c>
      <c r="P79" s="6" t="s">
        <v>29</v>
      </c>
      <c r="Q79" s="6" t="s">
        <v>38</v>
      </c>
      <c r="R79" s="7">
        <v>6</v>
      </c>
      <c r="S79" s="7">
        <v>25000</v>
      </c>
      <c r="T79" s="8">
        <v>150000</v>
      </c>
      <c r="U79" s="12"/>
    </row>
    <row r="80" spans="1:21">
      <c r="A80" s="16" t="s">
        <v>185</v>
      </c>
      <c r="B80" s="17">
        <f t="shared" si="1"/>
        <v>45667</v>
      </c>
      <c r="C80" s="18">
        <f>IF(ISNUMBER(B80),B80,DATE(RIGHT(A80,4),MID(A80,4,2),LEFT(A80,2)))</f>
        <v>45667</v>
      </c>
      <c r="D80" s="12"/>
      <c r="E80" s="16" t="str">
        <f>PROPER(TRIM('RAW Data'!C78))</f>
        <v>Accessories</v>
      </c>
      <c r="F80" s="6" t="str">
        <f>PROPER(TRIM('RAW Data'!D78))</f>
        <v>East</v>
      </c>
      <c r="G80" s="22" t="str">
        <f>PROPER(TRIM('RAW Data'!E78))</f>
        <v>Karan</v>
      </c>
      <c r="H80" s="12"/>
      <c r="I80" s="24">
        <v>5</v>
      </c>
      <c r="J80" s="7">
        <v>15000</v>
      </c>
      <c r="K80" s="8">
        <v>75000</v>
      </c>
      <c r="L80" s="12"/>
      <c r="M80" s="26">
        <v>45667</v>
      </c>
      <c r="N80" s="6" t="s">
        <v>186</v>
      </c>
      <c r="O80" s="6" t="s">
        <v>15</v>
      </c>
      <c r="P80" s="6" t="s">
        <v>29</v>
      </c>
      <c r="Q80" s="6" t="s">
        <v>33</v>
      </c>
      <c r="R80" s="7">
        <v>5</v>
      </c>
      <c r="S80" s="7">
        <v>15000</v>
      </c>
      <c r="T80" s="8">
        <v>75000</v>
      </c>
      <c r="U80" s="12"/>
    </row>
    <row r="81" spans="1:21">
      <c r="A81" s="16" t="s">
        <v>187</v>
      </c>
      <c r="B81" s="17" t="e">
        <f t="shared" si="1"/>
        <v>#VALUE!</v>
      </c>
      <c r="C81" s="18">
        <f>IF(ISNUMBER(B81),B81,DATE(RIGHT(A81,4),MID(A81,4,2),LEFT(A81,2)))</f>
        <v>45708</v>
      </c>
      <c r="D81" s="12"/>
      <c r="E81" s="16" t="str">
        <f>PROPER(TRIM('RAW Data'!C79))</f>
        <v>Mobile</v>
      </c>
      <c r="F81" s="6" t="str">
        <f>PROPER(TRIM('RAW Data'!D79))</f>
        <v>South</v>
      </c>
      <c r="G81" s="22" t="str">
        <f>PROPER(TRIM('RAW Data'!E79))</f>
        <v>Priya</v>
      </c>
      <c r="H81" s="12"/>
      <c r="I81" s="24">
        <v>23</v>
      </c>
      <c r="J81" s="7">
        <v>800</v>
      </c>
      <c r="K81" s="8">
        <v>18400</v>
      </c>
      <c r="L81" s="12"/>
      <c r="M81" s="26">
        <v>45708</v>
      </c>
      <c r="N81" s="6" t="s">
        <v>188</v>
      </c>
      <c r="O81" s="6" t="s">
        <v>23</v>
      </c>
      <c r="P81" s="6" t="s">
        <v>11</v>
      </c>
      <c r="Q81" s="6" t="s">
        <v>61</v>
      </c>
      <c r="R81" s="7">
        <v>23</v>
      </c>
      <c r="S81" s="7">
        <v>800</v>
      </c>
      <c r="T81" s="8">
        <v>18400</v>
      </c>
      <c r="U81" s="12"/>
    </row>
    <row r="82" spans="1:21">
      <c r="A82" s="16" t="s">
        <v>189</v>
      </c>
      <c r="B82" s="17">
        <f t="shared" si="1"/>
        <v>45901</v>
      </c>
      <c r="C82" s="18">
        <f>IF(ISNUMBER(B82),B82,DATE(RIGHT(A82,4),MID(A82,4,2),LEFT(A82,2)))</f>
        <v>45901</v>
      </c>
      <c r="D82" s="12"/>
      <c r="E82" s="16" t="str">
        <f>PROPER(TRIM('RAW Data'!C80))</f>
        <v>Accessories</v>
      </c>
      <c r="F82" s="6" t="str">
        <f>PROPER(TRIM('RAW Data'!D80))</f>
        <v>East</v>
      </c>
      <c r="G82" s="22" t="str">
        <f>PROPER(TRIM('RAW Data'!E80))</f>
        <v>Sonia</v>
      </c>
      <c r="H82" s="12"/>
      <c r="I82" s="24">
        <v>49</v>
      </c>
      <c r="J82" s="7">
        <v>50000</v>
      </c>
      <c r="K82" s="8">
        <v>2450000</v>
      </c>
      <c r="L82" s="12"/>
      <c r="M82" s="26">
        <v>45901</v>
      </c>
      <c r="N82" s="6" t="s">
        <v>190</v>
      </c>
      <c r="O82" s="6" t="s">
        <v>15</v>
      </c>
      <c r="P82" s="6" t="s">
        <v>29</v>
      </c>
      <c r="Q82" s="6" t="s">
        <v>20</v>
      </c>
      <c r="R82" s="7">
        <v>49</v>
      </c>
      <c r="S82" s="7">
        <v>50000</v>
      </c>
      <c r="T82" s="8">
        <v>2450000</v>
      </c>
      <c r="U82" s="12"/>
    </row>
    <row r="83" spans="1:21">
      <c r="A83" s="16" t="s">
        <v>191</v>
      </c>
      <c r="B83" s="17" t="e">
        <f t="shared" si="1"/>
        <v>#VALUE!</v>
      </c>
      <c r="C83" s="18">
        <f>IF(ISNUMBER(B83),B83,DATE(RIGHT(A83,4),MID(A83,4,2),LEFT(A83,2)))</f>
        <v>45670</v>
      </c>
      <c r="D83" s="12"/>
      <c r="E83" s="16" t="str">
        <f>PROPER(TRIM('RAW Data'!C81))</f>
        <v>Mobile</v>
      </c>
      <c r="F83" s="6" t="str">
        <f>PROPER(TRIM('RAW Data'!D81))</f>
        <v>North</v>
      </c>
      <c r="G83" s="22" t="str">
        <f>PROPER(TRIM('RAW Data'!E81))</f>
        <v>Tina</v>
      </c>
      <c r="H83" s="12"/>
      <c r="I83" s="24">
        <v>47</v>
      </c>
      <c r="J83" s="7">
        <v>1200</v>
      </c>
      <c r="K83" s="8">
        <v>56400</v>
      </c>
      <c r="L83" s="12"/>
      <c r="M83" s="26">
        <v>45670</v>
      </c>
      <c r="N83" s="6" t="s">
        <v>192</v>
      </c>
      <c r="O83" s="6" t="s">
        <v>23</v>
      </c>
      <c r="P83" s="6" t="s">
        <v>24</v>
      </c>
      <c r="Q83" s="6" t="s">
        <v>38</v>
      </c>
      <c r="R83" s="7">
        <v>47</v>
      </c>
      <c r="S83" s="7">
        <v>1200</v>
      </c>
      <c r="T83" s="8">
        <v>56400</v>
      </c>
      <c r="U83" s="12"/>
    </row>
    <row r="84" spans="1:21">
      <c r="A84" s="16" t="s">
        <v>187</v>
      </c>
      <c r="B84" s="17" t="e">
        <f t="shared" si="1"/>
        <v>#VALUE!</v>
      </c>
      <c r="C84" s="18">
        <f>IF(ISNUMBER(B84),B84,DATE(RIGHT(A84,4),MID(A84,4,2),LEFT(A84,2)))</f>
        <v>45708</v>
      </c>
      <c r="D84" s="12"/>
      <c r="E84" s="16" t="str">
        <f>PROPER(TRIM('RAW Data'!C82))</f>
        <v>Mobile</v>
      </c>
      <c r="F84" s="6" t="str">
        <f>PROPER(TRIM('RAW Data'!D82))</f>
        <v>East</v>
      </c>
      <c r="G84" s="22" t="str">
        <f>PROPER(TRIM('RAW Data'!E82))</f>
        <v>Amit</v>
      </c>
      <c r="H84" s="12"/>
      <c r="I84" s="24">
        <v>25</v>
      </c>
      <c r="J84" s="7">
        <v>15000</v>
      </c>
      <c r="K84" s="8">
        <v>375000</v>
      </c>
      <c r="L84" s="12"/>
      <c r="M84" s="26">
        <v>45708</v>
      </c>
      <c r="N84" s="6" t="s">
        <v>193</v>
      </c>
      <c r="O84" s="6" t="s">
        <v>23</v>
      </c>
      <c r="P84" s="6" t="s">
        <v>29</v>
      </c>
      <c r="Q84" s="6" t="s">
        <v>16</v>
      </c>
      <c r="R84" s="7">
        <v>25</v>
      </c>
      <c r="S84" s="7">
        <v>15000</v>
      </c>
      <c r="T84" s="8">
        <v>375000</v>
      </c>
      <c r="U84" s="12"/>
    </row>
    <row r="85" spans="1:21">
      <c r="A85" s="16" t="s">
        <v>194</v>
      </c>
      <c r="B85" s="17">
        <f t="shared" si="1"/>
        <v>45742</v>
      </c>
      <c r="C85" s="18">
        <f>IF(ISNUMBER(B85),B85,DATE(RIGHT(A85,4),MID(A85,4,2),LEFT(A85,2)))</f>
        <v>45742</v>
      </c>
      <c r="D85" s="12"/>
      <c r="E85" s="16" t="str">
        <f>PROPER(TRIM('RAW Data'!C83))</f>
        <v>Laptop</v>
      </c>
      <c r="F85" s="6" t="str">
        <f>PROPER(TRIM('RAW Data'!D83))</f>
        <v>East</v>
      </c>
      <c r="G85" s="22" t="str">
        <f>PROPER(TRIM('RAW Data'!E83))</f>
        <v>Sonia</v>
      </c>
      <c r="H85" s="12"/>
      <c r="I85" s="24">
        <v>41</v>
      </c>
      <c r="J85" s="7">
        <v>50000</v>
      </c>
      <c r="K85" s="8">
        <v>2050000</v>
      </c>
      <c r="L85" s="12"/>
      <c r="M85" s="26">
        <v>45742</v>
      </c>
      <c r="N85" s="6" t="s">
        <v>195</v>
      </c>
      <c r="O85" s="6" t="s">
        <v>10</v>
      </c>
      <c r="P85" s="6" t="s">
        <v>29</v>
      </c>
      <c r="Q85" s="6" t="s">
        <v>20</v>
      </c>
      <c r="R85" s="7">
        <v>41</v>
      </c>
      <c r="S85" s="7">
        <v>50000</v>
      </c>
      <c r="T85" s="8">
        <v>2050000</v>
      </c>
      <c r="U85" s="12"/>
    </row>
    <row r="86" spans="1:21">
      <c r="A86" s="16" t="s">
        <v>196</v>
      </c>
      <c r="B86" s="17">
        <f t="shared" si="1"/>
        <v>45659</v>
      </c>
      <c r="C86" s="18">
        <f>IF(ISNUMBER(B86),B86,DATE(RIGHT(A86,4),MID(A86,4,2),LEFT(A86,2)))</f>
        <v>45659</v>
      </c>
      <c r="D86" s="12"/>
      <c r="E86" s="16" t="str">
        <f>PROPER(TRIM('RAW Data'!C84))</f>
        <v>Laptop</v>
      </c>
      <c r="F86" s="6" t="str">
        <f>PROPER(TRIM('RAW Data'!D84))</f>
        <v/>
      </c>
      <c r="G86" s="22" t="str">
        <f>PROPER(TRIM('RAW Data'!E84))</f>
        <v>Amit</v>
      </c>
      <c r="H86" s="12"/>
      <c r="I86" s="24">
        <v>40</v>
      </c>
      <c r="J86" s="7">
        <v>1200</v>
      </c>
      <c r="K86" s="8">
        <v>48000</v>
      </c>
      <c r="L86" s="12"/>
      <c r="M86" s="26">
        <v>45659</v>
      </c>
      <c r="N86" s="6" t="s">
        <v>197</v>
      </c>
      <c r="O86" s="6" t="s">
        <v>10</v>
      </c>
      <c r="P86" s="6" t="s">
        <v>411</v>
      </c>
      <c r="Q86" s="6" t="s">
        <v>16</v>
      </c>
      <c r="R86" s="7">
        <v>40</v>
      </c>
      <c r="S86" s="7">
        <v>1200</v>
      </c>
      <c r="T86" s="8">
        <v>48000</v>
      </c>
      <c r="U86" s="12"/>
    </row>
    <row r="87" spans="1:21">
      <c r="A87" s="16" t="s">
        <v>198</v>
      </c>
      <c r="B87" s="17">
        <f t="shared" si="1"/>
        <v>45936</v>
      </c>
      <c r="C87" s="18">
        <f>IF(ISNUMBER(B87),B87,DATE(RIGHT(A87,4),MID(A87,4,2),LEFT(A87,2)))</f>
        <v>45936</v>
      </c>
      <c r="D87" s="12"/>
      <c r="E87" s="16" t="str">
        <f>PROPER(TRIM('RAW Data'!C85))</f>
        <v>Laptop</v>
      </c>
      <c r="F87" s="6" t="str">
        <f>PROPER(TRIM('RAW Data'!D85))</f>
        <v>North</v>
      </c>
      <c r="G87" s="22" t="str">
        <f>PROPER(TRIM('RAW Data'!E85))</f>
        <v>Karan</v>
      </c>
      <c r="H87" s="12"/>
      <c r="I87" s="24">
        <v>19</v>
      </c>
      <c r="J87" s="7">
        <v>1200</v>
      </c>
      <c r="K87" s="8">
        <v>22800</v>
      </c>
      <c r="L87" s="12"/>
      <c r="M87" s="26">
        <v>45936</v>
      </c>
      <c r="N87" s="6" t="s">
        <v>199</v>
      </c>
      <c r="O87" s="6" t="s">
        <v>10</v>
      </c>
      <c r="P87" s="6" t="s">
        <v>24</v>
      </c>
      <c r="Q87" s="6" t="s">
        <v>33</v>
      </c>
      <c r="R87" s="7">
        <v>19</v>
      </c>
      <c r="S87" s="7">
        <v>1200</v>
      </c>
      <c r="T87" s="8">
        <v>22800</v>
      </c>
      <c r="U87" s="12"/>
    </row>
    <row r="88" spans="1:21">
      <c r="A88" s="16" t="s">
        <v>185</v>
      </c>
      <c r="B88" s="17">
        <f t="shared" si="1"/>
        <v>45667</v>
      </c>
      <c r="C88" s="18">
        <f>IF(ISNUMBER(B88),B88,DATE(RIGHT(A88,4),MID(A88,4,2),LEFT(A88,2)))</f>
        <v>45667</v>
      </c>
      <c r="D88" s="12"/>
      <c r="E88" s="16" t="str">
        <f>PROPER(TRIM('RAW Data'!C86))</f>
        <v>Accessories</v>
      </c>
      <c r="F88" s="6" t="str">
        <f>PROPER(TRIM('RAW Data'!D86))</f>
        <v>West</v>
      </c>
      <c r="G88" s="22" t="str">
        <f>PROPER(TRIM('RAW Data'!E86))</f>
        <v>Vivek</v>
      </c>
      <c r="H88" s="12"/>
      <c r="I88" s="24">
        <v>26</v>
      </c>
      <c r="J88" s="7">
        <v>50000</v>
      </c>
      <c r="K88" s="8">
        <v>1300000</v>
      </c>
      <c r="L88" s="12"/>
      <c r="M88" s="26">
        <v>45667</v>
      </c>
      <c r="N88" s="6" t="s">
        <v>200</v>
      </c>
      <c r="O88" s="6" t="s">
        <v>15</v>
      </c>
      <c r="P88" s="6" t="s">
        <v>51</v>
      </c>
      <c r="Q88" s="6" t="s">
        <v>72</v>
      </c>
      <c r="R88" s="7">
        <v>26</v>
      </c>
      <c r="S88" s="7">
        <v>50000</v>
      </c>
      <c r="T88" s="8">
        <v>1300000</v>
      </c>
      <c r="U88" s="12"/>
    </row>
    <row r="89" spans="1:21">
      <c r="A89" s="16" t="s">
        <v>201</v>
      </c>
      <c r="B89" s="17">
        <f t="shared" si="1"/>
        <v>45662</v>
      </c>
      <c r="C89" s="18">
        <f>IF(ISNUMBER(B89),B89,DATE(RIGHT(A89,4),MID(A89,4,2),LEFT(A89,2)))</f>
        <v>45662</v>
      </c>
      <c r="D89" s="12"/>
      <c r="E89" s="16" t="str">
        <f>PROPER(TRIM('RAW Data'!C87))</f>
        <v>Laptop</v>
      </c>
      <c r="F89" s="6" t="str">
        <f>PROPER(TRIM('RAW Data'!D87))</f>
        <v>South</v>
      </c>
      <c r="G89" s="22" t="str">
        <f>PROPER(TRIM('RAW Data'!E87))</f>
        <v>Riya</v>
      </c>
      <c r="H89" s="12"/>
      <c r="I89" s="24">
        <v>1</v>
      </c>
      <c r="J89" s="7">
        <v>50000</v>
      </c>
      <c r="K89" s="8">
        <v>50000</v>
      </c>
      <c r="L89" s="12"/>
      <c r="M89" s="26">
        <v>45662</v>
      </c>
      <c r="N89" s="6" t="s">
        <v>202</v>
      </c>
      <c r="O89" s="6" t="s">
        <v>10</v>
      </c>
      <c r="P89" s="6" t="s">
        <v>11</v>
      </c>
      <c r="Q89" s="6" t="s">
        <v>30</v>
      </c>
      <c r="R89" s="7">
        <v>1</v>
      </c>
      <c r="S89" s="7">
        <v>50000</v>
      </c>
      <c r="T89" s="8">
        <v>50000</v>
      </c>
      <c r="U89" s="12"/>
    </row>
    <row r="90" spans="1:21">
      <c r="A90" s="16" t="s">
        <v>203</v>
      </c>
      <c r="B90" s="17" t="e">
        <f t="shared" si="1"/>
        <v>#VALUE!</v>
      </c>
      <c r="C90" s="18">
        <f>IF(ISNUMBER(B90),B90,DATE(RIGHT(A90,4),MID(A90,4,2),LEFT(A90,2)))</f>
        <v>45827</v>
      </c>
      <c r="D90" s="12"/>
      <c r="E90" s="16" t="str">
        <f>PROPER(TRIM('RAW Data'!C88))</f>
        <v>Lapotp</v>
      </c>
      <c r="F90" s="6" t="str">
        <f>PROPER(TRIM('RAW Data'!D88))</f>
        <v>South</v>
      </c>
      <c r="G90" s="22" t="str">
        <f>PROPER(TRIM('RAW Data'!E88))</f>
        <v>Neha</v>
      </c>
      <c r="H90" s="12"/>
      <c r="I90" s="24">
        <v>43</v>
      </c>
      <c r="J90" s="7">
        <v>800</v>
      </c>
      <c r="K90" s="8">
        <v>34400</v>
      </c>
      <c r="L90" s="12"/>
      <c r="M90" s="26">
        <v>45827</v>
      </c>
      <c r="N90" s="6" t="s">
        <v>204</v>
      </c>
      <c r="O90" s="6" t="s">
        <v>143</v>
      </c>
      <c r="P90" s="6" t="s">
        <v>11</v>
      </c>
      <c r="Q90" s="6" t="s">
        <v>25</v>
      </c>
      <c r="R90" s="7">
        <v>43</v>
      </c>
      <c r="S90" s="7">
        <v>800</v>
      </c>
      <c r="T90" s="8">
        <v>34400</v>
      </c>
      <c r="U90" s="12"/>
    </row>
    <row r="91" spans="1:21">
      <c r="A91" s="16" t="s">
        <v>205</v>
      </c>
      <c r="B91" s="17" t="e">
        <f t="shared" si="1"/>
        <v>#VALUE!</v>
      </c>
      <c r="C91" s="18">
        <f>IF(ISNUMBER(B91),B91,DATE(RIGHT(A91,4),MID(A91,4,2),LEFT(A91,2)))</f>
        <v>45835</v>
      </c>
      <c r="D91" s="12"/>
      <c r="E91" s="16" t="str">
        <f>PROPER(TRIM('RAW Data'!C89))</f>
        <v>Lapotp</v>
      </c>
      <c r="F91" s="6" t="str">
        <f>PROPER(TRIM('RAW Data'!D89))</f>
        <v>South</v>
      </c>
      <c r="G91" s="22" t="str">
        <f>PROPER(TRIM('RAW Data'!E89))</f>
        <v>Vivek</v>
      </c>
      <c r="H91" s="12"/>
      <c r="I91" s="24">
        <v>6</v>
      </c>
      <c r="J91" s="7">
        <v>800</v>
      </c>
      <c r="K91" s="8">
        <v>4800</v>
      </c>
      <c r="L91" s="12"/>
      <c r="M91" s="26">
        <v>45835</v>
      </c>
      <c r="N91" s="6" t="s">
        <v>206</v>
      </c>
      <c r="O91" s="6" t="s">
        <v>143</v>
      </c>
      <c r="P91" s="6" t="s">
        <v>11</v>
      </c>
      <c r="Q91" s="6" t="s">
        <v>72</v>
      </c>
      <c r="R91" s="7">
        <v>6</v>
      </c>
      <c r="S91" s="7">
        <v>800</v>
      </c>
      <c r="T91" s="8">
        <v>4800</v>
      </c>
      <c r="U91" s="12"/>
    </row>
    <row r="92" spans="1:21">
      <c r="A92" s="16" t="s">
        <v>207</v>
      </c>
      <c r="B92" s="17">
        <f t="shared" si="1"/>
        <v>45723</v>
      </c>
      <c r="C92" s="18">
        <f>IF(ISNUMBER(B92),B92,DATE(RIGHT(A92,4),MID(A92,4,2),LEFT(A92,2)))</f>
        <v>45723</v>
      </c>
      <c r="D92" s="12"/>
      <c r="E92" s="16" t="str">
        <f>PROPER(TRIM('RAW Data'!C90))</f>
        <v>Accesories</v>
      </c>
      <c r="F92" s="6" t="str">
        <f>PROPER(TRIM('RAW Data'!D90))</f>
        <v>East</v>
      </c>
      <c r="G92" s="22" t="str">
        <f>PROPER(TRIM('RAW Data'!E90))</f>
        <v>Priya</v>
      </c>
      <c r="H92" s="12"/>
      <c r="I92" s="24">
        <v>9</v>
      </c>
      <c r="J92" s="7">
        <v>50000</v>
      </c>
      <c r="K92" s="8">
        <v>450000</v>
      </c>
      <c r="L92" s="12"/>
      <c r="M92" s="26">
        <v>45723</v>
      </c>
      <c r="N92" s="6" t="s">
        <v>208</v>
      </c>
      <c r="O92" s="6" t="s">
        <v>260</v>
      </c>
      <c r="P92" s="6" t="s">
        <v>29</v>
      </c>
      <c r="Q92" s="6" t="s">
        <v>61</v>
      </c>
      <c r="R92" s="7">
        <v>9</v>
      </c>
      <c r="S92" s="7">
        <v>50000</v>
      </c>
      <c r="T92" s="8">
        <v>450000</v>
      </c>
      <c r="U92" s="12"/>
    </row>
    <row r="93" spans="1:21">
      <c r="A93" s="16" t="s">
        <v>210</v>
      </c>
      <c r="B93" s="17">
        <f t="shared" si="1"/>
        <v>45760</v>
      </c>
      <c r="C93" s="18">
        <f>IF(ISNUMBER(B93),B93,DATE(RIGHT(A93,4),MID(A93,4,2),LEFT(A93,2)))</f>
        <v>45760</v>
      </c>
      <c r="D93" s="12"/>
      <c r="E93" s="16" t="str">
        <f>PROPER(TRIM('RAW Data'!C91))</f>
        <v>Tablet</v>
      </c>
      <c r="F93" s="6" t="str">
        <f>PROPER(TRIM('RAW Data'!D91))</f>
        <v>South</v>
      </c>
      <c r="G93" s="22" t="str">
        <f>PROPER(TRIM('RAW Data'!E91))</f>
        <v>Manish</v>
      </c>
      <c r="H93" s="12"/>
      <c r="I93" s="24">
        <v>11</v>
      </c>
      <c r="J93" s="7">
        <v>800</v>
      </c>
      <c r="K93" s="8">
        <v>8800</v>
      </c>
      <c r="L93" s="12"/>
      <c r="M93" s="26">
        <v>45760</v>
      </c>
      <c r="N93" s="6" t="s">
        <v>211</v>
      </c>
      <c r="O93" s="6" t="s">
        <v>19</v>
      </c>
      <c r="P93" s="6" t="s">
        <v>11</v>
      </c>
      <c r="Q93" s="6" t="s">
        <v>46</v>
      </c>
      <c r="R93" s="7">
        <v>11</v>
      </c>
      <c r="S93" s="7">
        <v>800</v>
      </c>
      <c r="T93" s="8">
        <v>8800</v>
      </c>
      <c r="U93" s="12"/>
    </row>
    <row r="94" spans="1:21">
      <c r="A94" s="16" t="s">
        <v>100</v>
      </c>
      <c r="B94" s="17">
        <f t="shared" si="1"/>
        <v>45768</v>
      </c>
      <c r="C94" s="18">
        <f>IF(ISNUMBER(B94),B94,DATE(RIGHT(A94,4),MID(A94,4,2),LEFT(A94,2)))</f>
        <v>45768</v>
      </c>
      <c r="D94" s="12"/>
      <c r="E94" s="16" t="str">
        <f>PROPER(TRIM('RAW Data'!C92))</f>
        <v>Tablet</v>
      </c>
      <c r="F94" s="6" t="str">
        <f>PROPER(TRIM('RAW Data'!D92))</f>
        <v>North</v>
      </c>
      <c r="G94" s="22" t="str">
        <f>PROPER(TRIM('RAW Data'!E92))</f>
        <v>Sonia</v>
      </c>
      <c r="H94" s="12"/>
      <c r="I94" s="24">
        <v>46</v>
      </c>
      <c r="J94" s="7">
        <v>15000</v>
      </c>
      <c r="K94" s="8">
        <v>689245</v>
      </c>
      <c r="L94" s="12"/>
      <c r="M94" s="26">
        <v>45768</v>
      </c>
      <c r="N94" s="6" t="s">
        <v>212</v>
      </c>
      <c r="O94" s="6" t="s">
        <v>19</v>
      </c>
      <c r="P94" s="6" t="s">
        <v>24</v>
      </c>
      <c r="Q94" s="6" t="s">
        <v>20</v>
      </c>
      <c r="R94" s="7">
        <v>46</v>
      </c>
      <c r="S94" s="7">
        <v>15000</v>
      </c>
      <c r="T94" s="8">
        <v>689245</v>
      </c>
      <c r="U94" s="12"/>
    </row>
    <row r="95" spans="1:21">
      <c r="A95" s="16" t="s">
        <v>213</v>
      </c>
      <c r="B95" s="17">
        <f t="shared" si="1"/>
        <v>45872</v>
      </c>
      <c r="C95" s="18">
        <f>IF(ISNUMBER(B95),B95,DATE(RIGHT(A95,4),MID(A95,4,2),LEFT(A95,2)))</f>
        <v>45872</v>
      </c>
      <c r="D95" s="12"/>
      <c r="E95" s="16" t="str">
        <f>PROPER(TRIM('RAW Data'!C93))</f>
        <v>Laptop</v>
      </c>
      <c r="F95" s="6" t="str">
        <f>PROPER(TRIM('RAW Data'!D93))</f>
        <v>West</v>
      </c>
      <c r="G95" s="22" t="str">
        <f>PROPER(TRIM('RAW Data'!E93))</f>
        <v>Karan</v>
      </c>
      <c r="H95" s="12"/>
      <c r="I95" s="24">
        <v>12</v>
      </c>
      <c r="J95" s="7">
        <v>30000</v>
      </c>
      <c r="K95" s="8">
        <v>360000</v>
      </c>
      <c r="L95" s="12"/>
      <c r="M95" s="26">
        <v>45872</v>
      </c>
      <c r="N95" s="6" t="s">
        <v>214</v>
      </c>
      <c r="O95" s="6" t="s">
        <v>10</v>
      </c>
      <c r="P95" s="6" t="s">
        <v>51</v>
      </c>
      <c r="Q95" s="6" t="s">
        <v>33</v>
      </c>
      <c r="R95" s="7">
        <v>12</v>
      </c>
      <c r="S95" s="7">
        <v>30000</v>
      </c>
      <c r="T95" s="8">
        <v>360000</v>
      </c>
      <c r="U95" s="12"/>
    </row>
    <row r="96" spans="1:21">
      <c r="A96" s="16" t="s">
        <v>207</v>
      </c>
      <c r="B96" s="17">
        <f t="shared" si="1"/>
        <v>45723</v>
      </c>
      <c r="C96" s="18">
        <f>IF(ISNUMBER(B96),B96,DATE(RIGHT(A96,4),MID(A96,4,2),LEFT(A96,2)))</f>
        <v>45723</v>
      </c>
      <c r="D96" s="12"/>
      <c r="E96" s="16" t="str">
        <f>PROPER(TRIM('RAW Data'!C94))</f>
        <v>Tablet</v>
      </c>
      <c r="F96" s="6" t="str">
        <f>PROPER(TRIM('RAW Data'!D94))</f>
        <v>West</v>
      </c>
      <c r="G96" s="22" t="str">
        <f>PROPER(TRIM('RAW Data'!E94))</f>
        <v>Priya</v>
      </c>
      <c r="H96" s="12"/>
      <c r="I96" s="24">
        <v>10</v>
      </c>
      <c r="J96" s="7">
        <v>50000</v>
      </c>
      <c r="K96" s="8">
        <v>500000</v>
      </c>
      <c r="L96" s="12"/>
      <c r="M96" s="26">
        <v>45723</v>
      </c>
      <c r="N96" s="6" t="s">
        <v>215</v>
      </c>
      <c r="O96" s="6" t="s">
        <v>19</v>
      </c>
      <c r="P96" s="6" t="s">
        <v>51</v>
      </c>
      <c r="Q96" s="6" t="s">
        <v>61</v>
      </c>
      <c r="R96" s="7">
        <v>10</v>
      </c>
      <c r="S96" s="7">
        <v>50000</v>
      </c>
      <c r="T96" s="8">
        <v>500000</v>
      </c>
      <c r="U96" s="12"/>
    </row>
    <row r="97" spans="1:21">
      <c r="A97" s="16" t="s">
        <v>216</v>
      </c>
      <c r="B97" s="17">
        <f t="shared" si="1"/>
        <v>45833</v>
      </c>
      <c r="C97" s="18">
        <f>IF(ISNUMBER(B97),B97,DATE(RIGHT(A97,4),MID(A97,4,2),LEFT(A97,2)))</f>
        <v>45833</v>
      </c>
      <c r="D97" s="12"/>
      <c r="E97" s="16" t="str">
        <f>PROPER(TRIM('RAW Data'!C95))</f>
        <v>Accessories</v>
      </c>
      <c r="F97" s="6" t="str">
        <f>PROPER(TRIM('RAW Data'!D95))</f>
        <v>North</v>
      </c>
      <c r="G97" s="22" t="str">
        <f>PROPER(TRIM('RAW Data'!E95))</f>
        <v>Tina</v>
      </c>
      <c r="H97" s="12"/>
      <c r="I97" s="24">
        <v>42</v>
      </c>
      <c r="J97" s="7">
        <v>30000</v>
      </c>
      <c r="K97" s="8">
        <v>1260000</v>
      </c>
      <c r="L97" s="12"/>
      <c r="M97" s="26">
        <v>45833</v>
      </c>
      <c r="N97" s="6" t="s">
        <v>217</v>
      </c>
      <c r="O97" s="6" t="s">
        <v>15</v>
      </c>
      <c r="P97" s="6" t="s">
        <v>24</v>
      </c>
      <c r="Q97" s="6" t="s">
        <v>38</v>
      </c>
      <c r="R97" s="7">
        <v>42</v>
      </c>
      <c r="S97" s="7">
        <v>30000</v>
      </c>
      <c r="T97" s="8">
        <v>1260000</v>
      </c>
      <c r="U97" s="12"/>
    </row>
    <row r="98" spans="1:21">
      <c r="A98" s="16" t="s">
        <v>218</v>
      </c>
      <c r="B98" s="17">
        <f t="shared" si="1"/>
        <v>45816</v>
      </c>
      <c r="C98" s="18">
        <f>IF(ISNUMBER(B98),B98,DATE(RIGHT(A98,4),MID(A98,4,2),LEFT(A98,2)))</f>
        <v>45816</v>
      </c>
      <c r="D98" s="12"/>
      <c r="E98" s="16" t="str">
        <f>PROPER(TRIM('RAW Data'!C96))</f>
        <v>Accessories</v>
      </c>
      <c r="F98" s="6" t="str">
        <f>PROPER(TRIM('RAW Data'!D96))</f>
        <v>East</v>
      </c>
      <c r="G98" s="22" t="str">
        <f>PROPER(TRIM('RAW Data'!E96))</f>
        <v>Karan</v>
      </c>
      <c r="H98" s="12"/>
      <c r="I98" s="24">
        <v>26</v>
      </c>
      <c r="J98" s="7">
        <v>50000</v>
      </c>
      <c r="K98" s="8">
        <v>1300000</v>
      </c>
      <c r="L98" s="12"/>
      <c r="M98" s="26">
        <v>45816</v>
      </c>
      <c r="N98" s="6" t="s">
        <v>219</v>
      </c>
      <c r="O98" s="6" t="s">
        <v>15</v>
      </c>
      <c r="P98" s="6" t="s">
        <v>29</v>
      </c>
      <c r="Q98" s="6" t="s">
        <v>33</v>
      </c>
      <c r="R98" s="7">
        <v>26</v>
      </c>
      <c r="S98" s="7">
        <v>50000</v>
      </c>
      <c r="T98" s="8">
        <v>1300000</v>
      </c>
      <c r="U98" s="12"/>
    </row>
    <row r="99" spans="1:21">
      <c r="A99" s="16" t="s">
        <v>220</v>
      </c>
      <c r="B99" s="17" t="e">
        <f t="shared" si="1"/>
        <v>#VALUE!</v>
      </c>
      <c r="C99" s="18">
        <f>IF(ISNUMBER(B99),B99,DATE(RIGHT(A99,4),MID(A99,4,2),LEFT(A99,2)))</f>
        <v>45733</v>
      </c>
      <c r="D99" s="12"/>
      <c r="E99" s="16" t="str">
        <f>PROPER(TRIM('RAW Data'!C97))</f>
        <v>Mobile</v>
      </c>
      <c r="F99" s="6" t="str">
        <f>PROPER(TRIM('RAW Data'!D97))</f>
        <v>North</v>
      </c>
      <c r="G99" s="22" t="str">
        <f>PROPER(TRIM('RAW Data'!E97))</f>
        <v>Karan</v>
      </c>
      <c r="H99" s="12"/>
      <c r="I99" s="24">
        <v>38</v>
      </c>
      <c r="J99" s="7">
        <v>30000</v>
      </c>
      <c r="K99" s="8">
        <v>1140000</v>
      </c>
      <c r="L99" s="12"/>
      <c r="M99" s="26">
        <v>45733</v>
      </c>
      <c r="N99" s="6" t="s">
        <v>221</v>
      </c>
      <c r="O99" s="6" t="s">
        <v>23</v>
      </c>
      <c r="P99" s="6" t="s">
        <v>24</v>
      </c>
      <c r="Q99" s="6" t="s">
        <v>33</v>
      </c>
      <c r="R99" s="7">
        <v>38</v>
      </c>
      <c r="S99" s="7">
        <v>30000</v>
      </c>
      <c r="T99" s="8">
        <v>1140000</v>
      </c>
      <c r="U99" s="12"/>
    </row>
    <row r="100" spans="1:21">
      <c r="A100" s="16" t="s">
        <v>222</v>
      </c>
      <c r="B100" s="17">
        <f t="shared" si="1"/>
        <v>45994</v>
      </c>
      <c r="C100" s="18">
        <f>IF(ISNUMBER(B100),B100,DATE(RIGHT(A100,4),MID(A100,4,2),LEFT(A100,2)))</f>
        <v>45994</v>
      </c>
      <c r="D100" s="12"/>
      <c r="E100" s="16" t="str">
        <f>PROPER(TRIM('RAW Data'!C98))</f>
        <v>Tablet</v>
      </c>
      <c r="F100" s="6" t="str">
        <f>PROPER(TRIM('RAW Data'!D98))</f>
        <v>South</v>
      </c>
      <c r="G100" s="22" t="str">
        <f>PROPER(TRIM('RAW Data'!E98))</f>
        <v>Sonia</v>
      </c>
      <c r="H100" s="12"/>
      <c r="I100" s="24">
        <v>5</v>
      </c>
      <c r="J100" s="7">
        <v>1200</v>
      </c>
      <c r="K100" s="8">
        <v>6000</v>
      </c>
      <c r="L100" s="12"/>
      <c r="M100" s="26">
        <v>45994</v>
      </c>
      <c r="N100" s="6" t="s">
        <v>223</v>
      </c>
      <c r="O100" s="6" t="s">
        <v>19</v>
      </c>
      <c r="P100" s="6" t="s">
        <v>11</v>
      </c>
      <c r="Q100" s="6" t="s">
        <v>20</v>
      </c>
      <c r="R100" s="7">
        <v>5</v>
      </c>
      <c r="S100" s="7">
        <v>1200</v>
      </c>
      <c r="T100" s="8">
        <v>6000</v>
      </c>
      <c r="U100" s="12"/>
    </row>
    <row r="101" spans="1:21">
      <c r="A101" s="16" t="s">
        <v>224</v>
      </c>
      <c r="B101" s="17">
        <f t="shared" si="1"/>
        <v>45759</v>
      </c>
      <c r="C101" s="18">
        <f>IF(ISNUMBER(B101),B101,DATE(RIGHT(A101,4),MID(A101,4,2),LEFT(A101,2)))</f>
        <v>45759</v>
      </c>
      <c r="D101" s="12"/>
      <c r="E101" s="16" t="str">
        <f>PROPER(TRIM('RAW Data'!C99))</f>
        <v>Accessories</v>
      </c>
      <c r="F101" s="6" t="str">
        <f>PROPER(TRIM('RAW Data'!D99))</f>
        <v>South</v>
      </c>
      <c r="G101" s="22" t="str">
        <f>PROPER(TRIM('RAW Data'!E99))</f>
        <v>Sonia</v>
      </c>
      <c r="H101" s="12"/>
      <c r="I101" s="24">
        <v>23</v>
      </c>
      <c r="J101" s="7">
        <v>50000</v>
      </c>
      <c r="K101" s="8">
        <v>1150000</v>
      </c>
      <c r="L101" s="12"/>
      <c r="M101" s="26">
        <v>45759</v>
      </c>
      <c r="N101" s="6" t="s">
        <v>225</v>
      </c>
      <c r="O101" s="6" t="s">
        <v>15</v>
      </c>
      <c r="P101" s="6" t="s">
        <v>11</v>
      </c>
      <c r="Q101" s="6" t="s">
        <v>20</v>
      </c>
      <c r="R101" s="7">
        <v>23</v>
      </c>
      <c r="S101" s="7">
        <v>50000</v>
      </c>
      <c r="T101" s="8">
        <v>1150000</v>
      </c>
      <c r="U101" s="12"/>
    </row>
    <row r="102" spans="1:21">
      <c r="A102" s="16" t="s">
        <v>226</v>
      </c>
      <c r="B102" s="17">
        <f t="shared" si="1"/>
        <v>45737</v>
      </c>
      <c r="C102" s="18">
        <f>IF(ISNUMBER(B102),B102,DATE(RIGHT(A102,4),MID(A102,4,2),LEFT(A102,2)))</f>
        <v>45737</v>
      </c>
      <c r="D102" s="12"/>
      <c r="E102" s="16" t="str">
        <f>PROPER(TRIM('RAW Data'!C100))</f>
        <v>Accessories</v>
      </c>
      <c r="F102" s="6" t="str">
        <f>PROPER(TRIM('RAW Data'!D100))</f>
        <v>South</v>
      </c>
      <c r="G102" s="22" t="str">
        <f>PROPER(TRIM('RAW Data'!E100))</f>
        <v>Neha</v>
      </c>
      <c r="H102" s="12"/>
      <c r="I102" s="24">
        <v>21</v>
      </c>
      <c r="J102" s="7">
        <v>50000</v>
      </c>
      <c r="K102" s="8">
        <v>1050000</v>
      </c>
      <c r="L102" s="12"/>
      <c r="M102" s="26">
        <v>45737</v>
      </c>
      <c r="N102" s="6" t="s">
        <v>227</v>
      </c>
      <c r="O102" s="6" t="s">
        <v>15</v>
      </c>
      <c r="P102" s="6" t="s">
        <v>11</v>
      </c>
      <c r="Q102" s="6" t="s">
        <v>25</v>
      </c>
      <c r="R102" s="7">
        <v>21</v>
      </c>
      <c r="S102" s="7">
        <v>50000</v>
      </c>
      <c r="T102" s="8">
        <v>1050000</v>
      </c>
      <c r="U102" s="12"/>
    </row>
    <row r="103" spans="1:21">
      <c r="A103" s="16" t="s">
        <v>189</v>
      </c>
      <c r="B103" s="17">
        <f t="shared" si="1"/>
        <v>45901</v>
      </c>
      <c r="C103" s="18">
        <f>IF(ISNUMBER(B103),B103,DATE(RIGHT(A103,4),MID(A103,4,2),LEFT(A103,2)))</f>
        <v>45901</v>
      </c>
      <c r="D103" s="12"/>
      <c r="E103" s="16" t="str">
        <f>PROPER(TRIM('RAW Data'!C101))</f>
        <v>Mobile</v>
      </c>
      <c r="F103" s="6" t="str">
        <f>PROPER(TRIM('RAW Data'!D101))</f>
        <v>East</v>
      </c>
      <c r="G103" s="22" t="str">
        <f>PROPER(TRIM('RAW Data'!E101))</f>
        <v>Riya</v>
      </c>
      <c r="H103" s="12"/>
      <c r="I103" s="24">
        <v>43</v>
      </c>
      <c r="J103" s="7">
        <v>15000</v>
      </c>
      <c r="K103" s="8">
        <v>644958</v>
      </c>
      <c r="L103" s="12"/>
      <c r="M103" s="26">
        <v>45901</v>
      </c>
      <c r="N103" s="6" t="s">
        <v>228</v>
      </c>
      <c r="O103" s="6" t="s">
        <v>23</v>
      </c>
      <c r="P103" s="6" t="s">
        <v>29</v>
      </c>
      <c r="Q103" s="6" t="s">
        <v>30</v>
      </c>
      <c r="R103" s="7">
        <v>43</v>
      </c>
      <c r="S103" s="7">
        <v>15000</v>
      </c>
      <c r="T103" s="8">
        <v>644958</v>
      </c>
      <c r="U103" s="12"/>
    </row>
    <row r="104" spans="1:21">
      <c r="A104" s="16" t="s">
        <v>229</v>
      </c>
      <c r="B104" s="17" t="e">
        <f t="shared" si="1"/>
        <v>#VALUE!</v>
      </c>
      <c r="C104" s="18">
        <f>IF(ISNUMBER(B104),B104,DATE(RIGHT(A104,4),MID(A104,4,2),LEFT(A104,2)))</f>
        <v>45744</v>
      </c>
      <c r="D104" s="12"/>
      <c r="E104" s="16" t="str">
        <f>PROPER(TRIM('RAW Data'!C102))</f>
        <v>Tablet</v>
      </c>
      <c r="F104" s="6" t="str">
        <f>PROPER(TRIM('RAW Data'!D102))</f>
        <v/>
      </c>
      <c r="G104" s="22" t="str">
        <f>PROPER(TRIM('RAW Data'!E102))</f>
        <v>Tina</v>
      </c>
      <c r="H104" s="12"/>
      <c r="I104" s="24">
        <v>28</v>
      </c>
      <c r="J104" s="7">
        <v>800</v>
      </c>
      <c r="K104" s="8">
        <v>22400</v>
      </c>
      <c r="L104" s="12"/>
      <c r="M104" s="26">
        <v>45744</v>
      </c>
      <c r="N104" s="6" t="s">
        <v>230</v>
      </c>
      <c r="O104" s="6" t="s">
        <v>19</v>
      </c>
      <c r="P104" s="6" t="s">
        <v>411</v>
      </c>
      <c r="Q104" s="6" t="s">
        <v>38</v>
      </c>
      <c r="R104" s="7">
        <v>28</v>
      </c>
      <c r="S104" s="7">
        <v>800</v>
      </c>
      <c r="T104" s="8">
        <v>22400</v>
      </c>
      <c r="U104" s="12"/>
    </row>
    <row r="105" spans="1:21">
      <c r="A105" s="16" t="s">
        <v>231</v>
      </c>
      <c r="B105" s="17" t="e">
        <f t="shared" si="1"/>
        <v>#VALUE!</v>
      </c>
      <c r="C105" s="18">
        <f>IF(ISNUMBER(B105),B105,DATE(RIGHT(A105,4),MID(A105,4,2),LEFT(A105,2)))</f>
        <v>45710</v>
      </c>
      <c r="D105" s="12"/>
      <c r="E105" s="16" t="str">
        <f>PROPER(TRIM('RAW Data'!C103))</f>
        <v>Accessories</v>
      </c>
      <c r="F105" s="6" t="str">
        <f>PROPER(TRIM('RAW Data'!D103))</f>
        <v>West</v>
      </c>
      <c r="G105" s="22" t="str">
        <f>PROPER(TRIM('RAW Data'!E103))</f>
        <v>Karan</v>
      </c>
      <c r="H105" s="12"/>
      <c r="I105" s="24">
        <v>50</v>
      </c>
      <c r="J105" s="7">
        <v>1200</v>
      </c>
      <c r="K105" s="8">
        <v>60000</v>
      </c>
      <c r="L105" s="12"/>
      <c r="M105" s="26">
        <v>45710</v>
      </c>
      <c r="N105" s="6" t="s">
        <v>232</v>
      </c>
      <c r="O105" s="6" t="s">
        <v>15</v>
      </c>
      <c r="P105" s="6" t="s">
        <v>51</v>
      </c>
      <c r="Q105" s="6" t="s">
        <v>33</v>
      </c>
      <c r="R105" s="7">
        <v>50</v>
      </c>
      <c r="S105" s="7">
        <v>1200</v>
      </c>
      <c r="T105" s="8">
        <v>60000</v>
      </c>
      <c r="U105" s="12"/>
    </row>
    <row r="106" spans="1:21">
      <c r="A106" s="16" t="s">
        <v>233</v>
      </c>
      <c r="B106" s="17">
        <f t="shared" si="1"/>
        <v>45756</v>
      </c>
      <c r="C106" s="18">
        <f>IF(ISNUMBER(B106),B106,DATE(RIGHT(A106,4),MID(A106,4,2),LEFT(A106,2)))</f>
        <v>45756</v>
      </c>
      <c r="D106" s="12"/>
      <c r="E106" s="16" t="str">
        <f>PROPER(TRIM('RAW Data'!C104))</f>
        <v>Laptop</v>
      </c>
      <c r="F106" s="6" t="str">
        <f>PROPER(TRIM('RAW Data'!D104))</f>
        <v>West</v>
      </c>
      <c r="G106" s="22" t="str">
        <f>PROPER(TRIM('RAW Data'!E104))</f>
        <v>Karan</v>
      </c>
      <c r="H106" s="12"/>
      <c r="I106" s="24">
        <v>27</v>
      </c>
      <c r="J106" s="7">
        <v>30000</v>
      </c>
      <c r="K106" s="8">
        <v>810000</v>
      </c>
      <c r="L106" s="12"/>
      <c r="M106" s="26">
        <v>45756</v>
      </c>
      <c r="N106" s="6" t="s">
        <v>234</v>
      </c>
      <c r="O106" s="6" t="s">
        <v>10</v>
      </c>
      <c r="P106" s="6" t="s">
        <v>51</v>
      </c>
      <c r="Q106" s="6" t="s">
        <v>33</v>
      </c>
      <c r="R106" s="7">
        <v>27</v>
      </c>
      <c r="S106" s="7">
        <v>30000</v>
      </c>
      <c r="T106" s="8">
        <v>810000</v>
      </c>
      <c r="U106" s="12"/>
    </row>
    <row r="107" spans="1:21">
      <c r="A107" s="16" t="s">
        <v>235</v>
      </c>
      <c r="B107" s="17">
        <f t="shared" si="1"/>
        <v>45829</v>
      </c>
      <c r="C107" s="18">
        <f>IF(ISNUMBER(B107),B107,DATE(RIGHT(A107,4),MID(A107,4,2),LEFT(A107,2)))</f>
        <v>45829</v>
      </c>
      <c r="D107" s="12"/>
      <c r="E107" s="16" t="str">
        <f>PROPER(TRIM('RAW Data'!C105))</f>
        <v>Laptop</v>
      </c>
      <c r="F107" s="6" t="str">
        <f>PROPER(TRIM('RAW Data'!D105))</f>
        <v>West</v>
      </c>
      <c r="G107" s="22" t="str">
        <f>PROPER(TRIM('RAW Data'!E105))</f>
        <v>Neha</v>
      </c>
      <c r="H107" s="12"/>
      <c r="I107" s="24">
        <v>29</v>
      </c>
      <c r="J107" s="7">
        <v>1200</v>
      </c>
      <c r="K107" s="8">
        <v>34800</v>
      </c>
      <c r="L107" s="12"/>
      <c r="M107" s="26">
        <v>45829</v>
      </c>
      <c r="N107" s="6" t="s">
        <v>236</v>
      </c>
      <c r="O107" s="6" t="s">
        <v>10</v>
      </c>
      <c r="P107" s="6" t="s">
        <v>51</v>
      </c>
      <c r="Q107" s="6" t="s">
        <v>25</v>
      </c>
      <c r="R107" s="7">
        <v>29</v>
      </c>
      <c r="S107" s="7">
        <v>1200</v>
      </c>
      <c r="T107" s="8">
        <v>34800</v>
      </c>
      <c r="U107" s="12"/>
    </row>
    <row r="108" spans="1:21">
      <c r="A108" s="16" t="s">
        <v>237</v>
      </c>
      <c r="B108" s="17">
        <f t="shared" si="1"/>
        <v>45743</v>
      </c>
      <c r="C108" s="18">
        <f>IF(ISNUMBER(B108),B108,DATE(RIGHT(A108,4),MID(A108,4,2),LEFT(A108,2)))</f>
        <v>45743</v>
      </c>
      <c r="D108" s="12"/>
      <c r="E108" s="16" t="str">
        <f>PROPER(TRIM('RAW Data'!C106))</f>
        <v>Moblie</v>
      </c>
      <c r="F108" s="6" t="str">
        <f>PROPER(TRIM('RAW Data'!D106))</f>
        <v>North</v>
      </c>
      <c r="G108" s="22" t="str">
        <f>PROPER(TRIM('RAW Data'!E106))</f>
        <v>Tina</v>
      </c>
      <c r="H108" s="12"/>
      <c r="I108" s="24">
        <v>38</v>
      </c>
      <c r="J108" s="7">
        <v>30000</v>
      </c>
      <c r="K108" s="8">
        <v>1140000</v>
      </c>
      <c r="L108" s="12"/>
      <c r="M108" s="26">
        <v>45743</v>
      </c>
      <c r="N108" s="6" t="s">
        <v>238</v>
      </c>
      <c r="O108" s="6" t="s">
        <v>116</v>
      </c>
      <c r="P108" s="6" t="s">
        <v>24</v>
      </c>
      <c r="Q108" s="6" t="s">
        <v>38</v>
      </c>
      <c r="R108" s="7">
        <v>38</v>
      </c>
      <c r="S108" s="7">
        <v>30000</v>
      </c>
      <c r="T108" s="8">
        <v>1140000</v>
      </c>
      <c r="U108" s="12"/>
    </row>
    <row r="109" spans="1:21">
      <c r="A109" s="16" t="s">
        <v>239</v>
      </c>
      <c r="B109" s="17">
        <f t="shared" si="1"/>
        <v>45670</v>
      </c>
      <c r="C109" s="18">
        <f>IF(ISNUMBER(B109),B109,DATE(RIGHT(A109,4),MID(A109,4,2),LEFT(A109,2)))</f>
        <v>45670</v>
      </c>
      <c r="D109" s="12"/>
      <c r="E109" s="16" t="str">
        <f>PROPER(TRIM('RAW Data'!C107))</f>
        <v>Laptop</v>
      </c>
      <c r="F109" s="6" t="str">
        <f>PROPER(TRIM('RAW Data'!D107))</f>
        <v>East</v>
      </c>
      <c r="G109" s="22" t="str">
        <f>PROPER(TRIM('RAW Data'!E107))</f>
        <v>Priya</v>
      </c>
      <c r="H109" s="12"/>
      <c r="I109" s="24">
        <v>23</v>
      </c>
      <c r="J109" s="7">
        <v>50000</v>
      </c>
      <c r="K109" s="8">
        <v>1150000</v>
      </c>
      <c r="L109" s="12"/>
      <c r="M109" s="26">
        <v>45670</v>
      </c>
      <c r="N109" s="6" t="s">
        <v>240</v>
      </c>
      <c r="O109" s="6" t="s">
        <v>10</v>
      </c>
      <c r="P109" s="6" t="s">
        <v>29</v>
      </c>
      <c r="Q109" s="6" t="s">
        <v>61</v>
      </c>
      <c r="R109" s="7">
        <v>23</v>
      </c>
      <c r="S109" s="7">
        <v>50000</v>
      </c>
      <c r="T109" s="8">
        <v>1150000</v>
      </c>
      <c r="U109" s="12"/>
    </row>
    <row r="110" spans="1:21">
      <c r="A110" s="16" t="s">
        <v>241</v>
      </c>
      <c r="B110" s="17">
        <f t="shared" si="1"/>
        <v>45963</v>
      </c>
      <c r="C110" s="18">
        <f>IF(ISNUMBER(B110),B110,DATE(RIGHT(A110,4),MID(A110,4,2),LEFT(A110,2)))</f>
        <v>45963</v>
      </c>
      <c r="D110" s="12"/>
      <c r="E110" s="16" t="str">
        <f>PROPER(TRIM('RAW Data'!C108))</f>
        <v>Tablet</v>
      </c>
      <c r="F110" s="6" t="str">
        <f>PROPER(TRIM('RAW Data'!D108))</f>
        <v/>
      </c>
      <c r="G110" s="22" t="str">
        <f>PROPER(TRIM('RAW Data'!E108))</f>
        <v>Tina</v>
      </c>
      <c r="H110" s="12"/>
      <c r="I110" s="24">
        <v>13</v>
      </c>
      <c r="J110" s="7">
        <v>50000</v>
      </c>
      <c r="K110" s="8">
        <v>650000</v>
      </c>
      <c r="L110" s="12"/>
      <c r="M110" s="26">
        <v>45963</v>
      </c>
      <c r="N110" s="6" t="s">
        <v>242</v>
      </c>
      <c r="O110" s="6" t="s">
        <v>19</v>
      </c>
      <c r="P110" s="6" t="s">
        <v>411</v>
      </c>
      <c r="Q110" s="6" t="s">
        <v>38</v>
      </c>
      <c r="R110" s="7">
        <v>13</v>
      </c>
      <c r="S110" s="7">
        <v>50000</v>
      </c>
      <c r="T110" s="8">
        <v>650000</v>
      </c>
      <c r="U110" s="12"/>
    </row>
    <row r="111" spans="1:21">
      <c r="A111" s="16" t="s">
        <v>243</v>
      </c>
      <c r="B111" s="17">
        <f t="shared" si="1"/>
        <v>45674</v>
      </c>
      <c r="C111" s="18">
        <f>IF(ISNUMBER(B111),B111,DATE(RIGHT(A111,4),MID(A111,4,2),LEFT(A111,2)))</f>
        <v>45674</v>
      </c>
      <c r="D111" s="12"/>
      <c r="E111" s="16" t="str">
        <f>PROPER(TRIM('RAW Data'!C109))</f>
        <v>Accessories</v>
      </c>
      <c r="F111" s="6" t="str">
        <f>PROPER(TRIM('RAW Data'!D109))</f>
        <v>South</v>
      </c>
      <c r="G111" s="22" t="str">
        <f>PROPER(TRIM('RAW Data'!E109))</f>
        <v>Rohit</v>
      </c>
      <c r="H111" s="12"/>
      <c r="I111" s="24">
        <v>26</v>
      </c>
      <c r="J111" s="7">
        <v>50000</v>
      </c>
      <c r="K111" s="8">
        <v>1300000</v>
      </c>
      <c r="L111" s="12"/>
      <c r="M111" s="26">
        <v>45674</v>
      </c>
      <c r="N111" s="6" t="s">
        <v>244</v>
      </c>
      <c r="O111" s="6" t="s">
        <v>15</v>
      </c>
      <c r="P111" s="6" t="s">
        <v>11</v>
      </c>
      <c r="Q111" s="6" t="s">
        <v>12</v>
      </c>
      <c r="R111" s="7">
        <v>26</v>
      </c>
      <c r="S111" s="7">
        <v>50000</v>
      </c>
      <c r="T111" s="8">
        <v>1300000</v>
      </c>
      <c r="U111" s="12"/>
    </row>
    <row r="112" spans="1:21">
      <c r="A112" s="16" t="s">
        <v>245</v>
      </c>
      <c r="B112" s="17">
        <f t="shared" si="1"/>
        <v>45761</v>
      </c>
      <c r="C112" s="18">
        <f>IF(ISNUMBER(B112),B112,DATE(RIGHT(A112,4),MID(A112,4,2),LEFT(A112,2)))</f>
        <v>45761</v>
      </c>
      <c r="D112" s="12"/>
      <c r="E112" s="16" t="str">
        <f>PROPER(TRIM('RAW Data'!C110))</f>
        <v>Accessories</v>
      </c>
      <c r="F112" s="6" t="str">
        <f>PROPER(TRIM('RAW Data'!D110))</f>
        <v>North</v>
      </c>
      <c r="G112" s="22" t="str">
        <f>PROPER(TRIM('RAW Data'!E110))</f>
        <v>Riya</v>
      </c>
      <c r="H112" s="12"/>
      <c r="I112" s="24">
        <v>11</v>
      </c>
      <c r="J112" s="7">
        <v>50000</v>
      </c>
      <c r="K112" s="8">
        <v>550000</v>
      </c>
      <c r="L112" s="12"/>
      <c r="M112" s="26">
        <v>45761</v>
      </c>
      <c r="N112" s="6" t="s">
        <v>246</v>
      </c>
      <c r="O112" s="6" t="s">
        <v>15</v>
      </c>
      <c r="P112" s="6" t="s">
        <v>24</v>
      </c>
      <c r="Q112" s="6" t="s">
        <v>30</v>
      </c>
      <c r="R112" s="7">
        <v>11</v>
      </c>
      <c r="S112" s="7">
        <v>50000</v>
      </c>
      <c r="T112" s="8">
        <v>550000</v>
      </c>
      <c r="U112" s="12"/>
    </row>
    <row r="113" spans="1:21">
      <c r="A113" s="16" t="s">
        <v>247</v>
      </c>
      <c r="B113" s="17">
        <f t="shared" si="1"/>
        <v>45691</v>
      </c>
      <c r="C113" s="18">
        <f>IF(ISNUMBER(B113),B113,DATE(RIGHT(A113,4),MID(A113,4,2),LEFT(A113,2)))</f>
        <v>45691</v>
      </c>
      <c r="D113" s="12"/>
      <c r="E113" s="16" t="str">
        <f>PROPER(TRIM('RAW Data'!C111))</f>
        <v>Tablet</v>
      </c>
      <c r="F113" s="6" t="str">
        <f>PROPER(TRIM('RAW Data'!D111))</f>
        <v>South</v>
      </c>
      <c r="G113" s="22" t="str">
        <f>PROPER(TRIM('RAW Data'!E111))</f>
        <v>Vivek</v>
      </c>
      <c r="H113" s="12"/>
      <c r="I113" s="24">
        <v>21</v>
      </c>
      <c r="J113" s="7">
        <v>800</v>
      </c>
      <c r="K113" s="8">
        <v>16800</v>
      </c>
      <c r="L113" s="12"/>
      <c r="M113" s="26">
        <v>45691</v>
      </c>
      <c r="N113" s="6" t="s">
        <v>248</v>
      </c>
      <c r="O113" s="6" t="s">
        <v>19</v>
      </c>
      <c r="P113" s="6" t="s">
        <v>11</v>
      </c>
      <c r="Q113" s="6" t="s">
        <v>72</v>
      </c>
      <c r="R113" s="7">
        <v>21</v>
      </c>
      <c r="S113" s="7">
        <v>800</v>
      </c>
      <c r="T113" s="8">
        <v>16800</v>
      </c>
      <c r="U113" s="12"/>
    </row>
    <row r="114" spans="1:21">
      <c r="A114" s="16" t="s">
        <v>249</v>
      </c>
      <c r="B114" s="17">
        <f t="shared" si="1"/>
        <v>45773</v>
      </c>
      <c r="C114" s="18">
        <f>IF(ISNUMBER(B114),B114,DATE(RIGHT(A114,4),MID(A114,4,2),LEFT(A114,2)))</f>
        <v>45773</v>
      </c>
      <c r="D114" s="12"/>
      <c r="E114" s="16" t="str">
        <f>PROPER(TRIM('RAW Data'!C112))</f>
        <v>Laptop</v>
      </c>
      <c r="F114" s="6" t="str">
        <f>PROPER(TRIM('RAW Data'!D112))</f>
        <v>West</v>
      </c>
      <c r="G114" s="22" t="str">
        <f>PROPER(TRIM('RAW Data'!E112))</f>
        <v>Neha</v>
      </c>
      <c r="H114" s="12"/>
      <c r="I114" s="24">
        <v>27</v>
      </c>
      <c r="J114" s="7">
        <v>15000</v>
      </c>
      <c r="K114" s="8">
        <v>404238</v>
      </c>
      <c r="L114" s="12"/>
      <c r="M114" s="26">
        <v>45773</v>
      </c>
      <c r="N114" s="6" t="s">
        <v>250</v>
      </c>
      <c r="O114" s="6" t="s">
        <v>10</v>
      </c>
      <c r="P114" s="6" t="s">
        <v>51</v>
      </c>
      <c r="Q114" s="6" t="s">
        <v>25</v>
      </c>
      <c r="R114" s="7">
        <v>27</v>
      </c>
      <c r="S114" s="7">
        <v>15000</v>
      </c>
      <c r="T114" s="8">
        <v>404238</v>
      </c>
      <c r="U114" s="12"/>
    </row>
    <row r="115" spans="1:21">
      <c r="A115" s="16" t="s">
        <v>251</v>
      </c>
      <c r="B115" s="17">
        <f t="shared" si="1"/>
        <v>45668</v>
      </c>
      <c r="C115" s="18">
        <f>IF(ISNUMBER(B115),B115,DATE(RIGHT(A115,4),MID(A115,4,2),LEFT(A115,2)))</f>
        <v>45668</v>
      </c>
      <c r="D115" s="12"/>
      <c r="E115" s="16" t="str">
        <f>PROPER(TRIM('RAW Data'!C113))</f>
        <v>Laptop</v>
      </c>
      <c r="F115" s="6" t="str">
        <f>PROPER(TRIM('RAW Data'!D113))</f>
        <v>East</v>
      </c>
      <c r="G115" s="22" t="str">
        <f>PROPER(TRIM('RAW Data'!E113))</f>
        <v>Tina</v>
      </c>
      <c r="H115" s="12"/>
      <c r="I115" s="24">
        <v>14</v>
      </c>
      <c r="J115" s="7">
        <v>25000</v>
      </c>
      <c r="K115" s="8">
        <v>350000</v>
      </c>
      <c r="L115" s="12"/>
      <c r="M115" s="26">
        <v>45668</v>
      </c>
      <c r="N115" s="6" t="s">
        <v>252</v>
      </c>
      <c r="O115" s="6" t="s">
        <v>10</v>
      </c>
      <c r="P115" s="6" t="s">
        <v>29</v>
      </c>
      <c r="Q115" s="6" t="s">
        <v>38</v>
      </c>
      <c r="R115" s="7">
        <v>14</v>
      </c>
      <c r="S115" s="7">
        <v>25000</v>
      </c>
      <c r="T115" s="8">
        <v>350000</v>
      </c>
      <c r="U115" s="12"/>
    </row>
    <row r="116" spans="1:21">
      <c r="A116" s="16" t="s">
        <v>253</v>
      </c>
      <c r="B116" s="17" t="e">
        <f t="shared" si="1"/>
        <v>#VALUE!</v>
      </c>
      <c r="C116" s="18">
        <f>IF(ISNUMBER(B116),B116,DATE(RIGHT(A116,4),MID(A116,4,2),LEFT(A116,2)))</f>
        <v>45701</v>
      </c>
      <c r="D116" s="12"/>
      <c r="E116" s="16" t="str">
        <f>PROPER(TRIM('RAW Data'!C114))</f>
        <v>Accessories</v>
      </c>
      <c r="F116" s="6" t="str">
        <f>PROPER(TRIM('RAW Data'!D114))</f>
        <v>South</v>
      </c>
      <c r="G116" s="22" t="str">
        <f>PROPER(TRIM('RAW Data'!E114))</f>
        <v>Riya</v>
      </c>
      <c r="H116" s="12"/>
      <c r="I116" s="24">
        <v>40</v>
      </c>
      <c r="J116" s="7">
        <v>50000</v>
      </c>
      <c r="K116" s="8">
        <v>2000000</v>
      </c>
      <c r="L116" s="12"/>
      <c r="M116" s="26">
        <v>45701</v>
      </c>
      <c r="N116" s="6" t="s">
        <v>254</v>
      </c>
      <c r="O116" s="6" t="s">
        <v>15</v>
      </c>
      <c r="P116" s="6" t="s">
        <v>11</v>
      </c>
      <c r="Q116" s="6" t="s">
        <v>30</v>
      </c>
      <c r="R116" s="7">
        <v>40</v>
      </c>
      <c r="S116" s="7">
        <v>50000</v>
      </c>
      <c r="T116" s="8">
        <v>2000000</v>
      </c>
      <c r="U116" s="12"/>
    </row>
    <row r="117" spans="1:21">
      <c r="A117" s="16" t="s">
        <v>255</v>
      </c>
      <c r="B117" s="17">
        <f t="shared" si="1"/>
        <v>45740</v>
      </c>
      <c r="C117" s="18">
        <f>IF(ISNUMBER(B117),B117,DATE(RIGHT(A117,4),MID(A117,4,2),LEFT(A117,2)))</f>
        <v>45740</v>
      </c>
      <c r="D117" s="12"/>
      <c r="E117" s="16" t="str">
        <f>PROPER(TRIM('RAW Data'!C115))</f>
        <v>Tablet</v>
      </c>
      <c r="F117" s="6" t="str">
        <f>PROPER(TRIM('RAW Data'!D115))</f>
        <v>North</v>
      </c>
      <c r="G117" s="22" t="str">
        <f>PROPER(TRIM('RAW Data'!E115))</f>
        <v>Riya</v>
      </c>
      <c r="H117" s="12"/>
      <c r="I117" s="24">
        <v>13</v>
      </c>
      <c r="J117" s="7">
        <v>25000</v>
      </c>
      <c r="K117" s="8">
        <v>325000</v>
      </c>
      <c r="L117" s="12"/>
      <c r="M117" s="26">
        <v>45740</v>
      </c>
      <c r="N117" s="6" t="s">
        <v>256</v>
      </c>
      <c r="O117" s="6" t="s">
        <v>19</v>
      </c>
      <c r="P117" s="6" t="s">
        <v>24</v>
      </c>
      <c r="Q117" s="6" t="s">
        <v>30</v>
      </c>
      <c r="R117" s="7">
        <v>13</v>
      </c>
      <c r="S117" s="7">
        <v>25000</v>
      </c>
      <c r="T117" s="8">
        <v>325000</v>
      </c>
      <c r="U117" s="12"/>
    </row>
    <row r="118" spans="1:21">
      <c r="A118" s="16" t="s">
        <v>257</v>
      </c>
      <c r="B118" s="17">
        <f t="shared" si="1"/>
        <v>45658</v>
      </c>
      <c r="C118" s="18">
        <f>IF(ISNUMBER(B118),B118,DATE(RIGHT(A118,4),MID(A118,4,2),LEFT(A118,2)))</f>
        <v>45658</v>
      </c>
      <c r="D118" s="12"/>
      <c r="E118" s="16" t="str">
        <f>PROPER(TRIM('RAW Data'!C116))</f>
        <v>Mobile</v>
      </c>
      <c r="F118" s="6" t="str">
        <f>PROPER(TRIM('RAW Data'!D116))</f>
        <v>South</v>
      </c>
      <c r="G118" s="22" t="str">
        <f>PROPER(TRIM('RAW Data'!E116))</f>
        <v>Manish</v>
      </c>
      <c r="H118" s="12"/>
      <c r="I118" s="24">
        <v>1</v>
      </c>
      <c r="J118" s="7">
        <v>800</v>
      </c>
      <c r="K118" s="8">
        <v>800</v>
      </c>
      <c r="L118" s="12"/>
      <c r="M118" s="26">
        <v>45658</v>
      </c>
      <c r="N118" s="6" t="s">
        <v>258</v>
      </c>
      <c r="O118" s="6" t="s">
        <v>23</v>
      </c>
      <c r="P118" s="6" t="s">
        <v>11</v>
      </c>
      <c r="Q118" s="6" t="s">
        <v>46</v>
      </c>
      <c r="R118" s="7">
        <v>1</v>
      </c>
      <c r="S118" s="7">
        <v>800</v>
      </c>
      <c r="T118" s="8">
        <v>800</v>
      </c>
      <c r="U118" s="12"/>
    </row>
    <row r="119" spans="1:21">
      <c r="A119" s="16" t="s">
        <v>233</v>
      </c>
      <c r="B119" s="17">
        <f t="shared" si="1"/>
        <v>45756</v>
      </c>
      <c r="C119" s="18">
        <f>IF(ISNUMBER(B119),B119,DATE(RIGHT(A119,4),MID(A119,4,2),LEFT(A119,2)))</f>
        <v>45756</v>
      </c>
      <c r="D119" s="12"/>
      <c r="E119" s="16" t="str">
        <f>PROPER(TRIM('RAW Data'!C117))</f>
        <v>Accesories</v>
      </c>
      <c r="F119" s="6" t="str">
        <f>PROPER(TRIM('RAW Data'!D117))</f>
        <v>North</v>
      </c>
      <c r="G119" s="22" t="str">
        <f>PROPER(TRIM('RAW Data'!E117))</f>
        <v>Rohit</v>
      </c>
      <c r="H119" s="12"/>
      <c r="I119" s="24">
        <v>14</v>
      </c>
      <c r="J119" s="7">
        <v>15000</v>
      </c>
      <c r="K119" s="8">
        <v>209202</v>
      </c>
      <c r="L119" s="12"/>
      <c r="M119" s="26">
        <v>45756</v>
      </c>
      <c r="N119" s="6" t="s">
        <v>259</v>
      </c>
      <c r="O119" s="6" t="s">
        <v>260</v>
      </c>
      <c r="P119" s="6" t="s">
        <v>24</v>
      </c>
      <c r="Q119" s="6" t="s">
        <v>12</v>
      </c>
      <c r="R119" s="7">
        <v>14</v>
      </c>
      <c r="S119" s="7">
        <v>15000</v>
      </c>
      <c r="T119" s="8">
        <v>209202</v>
      </c>
      <c r="U119" s="12"/>
    </row>
    <row r="120" spans="1:21">
      <c r="A120" s="16" t="s">
        <v>245</v>
      </c>
      <c r="B120" s="17">
        <f t="shared" si="1"/>
        <v>45761</v>
      </c>
      <c r="C120" s="18">
        <f>IF(ISNUMBER(B120),B120,DATE(RIGHT(A120,4),MID(A120,4,2),LEFT(A120,2)))</f>
        <v>45761</v>
      </c>
      <c r="D120" s="12"/>
      <c r="E120" s="16" t="str">
        <f>PROPER(TRIM('RAW Data'!C118))</f>
        <v>Accesories</v>
      </c>
      <c r="F120" s="6" t="str">
        <f>PROPER(TRIM('RAW Data'!D118))</f>
        <v>West</v>
      </c>
      <c r="G120" s="22" t="str">
        <f>PROPER(TRIM('RAW Data'!E118))</f>
        <v>Sonia</v>
      </c>
      <c r="H120" s="12"/>
      <c r="I120" s="24">
        <v>24</v>
      </c>
      <c r="J120" s="7">
        <v>30000</v>
      </c>
      <c r="K120" s="8">
        <v>720000</v>
      </c>
      <c r="L120" s="12"/>
      <c r="M120" s="26">
        <v>45761</v>
      </c>
      <c r="N120" s="6" t="s">
        <v>261</v>
      </c>
      <c r="O120" s="6" t="s">
        <v>260</v>
      </c>
      <c r="P120" s="6" t="s">
        <v>51</v>
      </c>
      <c r="Q120" s="6" t="s">
        <v>20</v>
      </c>
      <c r="R120" s="7">
        <v>24</v>
      </c>
      <c r="S120" s="7">
        <v>30000</v>
      </c>
      <c r="T120" s="8">
        <v>720000</v>
      </c>
      <c r="U120" s="12"/>
    </row>
    <row r="121" spans="1:21">
      <c r="A121" s="16" t="s">
        <v>153</v>
      </c>
      <c r="B121" s="17">
        <f t="shared" si="1"/>
        <v>45875</v>
      </c>
      <c r="C121" s="18">
        <f>IF(ISNUMBER(B121),B121,DATE(RIGHT(A121,4),MID(A121,4,2),LEFT(A121,2)))</f>
        <v>45875</v>
      </c>
      <c r="D121" s="12"/>
      <c r="E121" s="16" t="str">
        <f>PROPER(TRIM('RAW Data'!C119))</f>
        <v>Tabllet</v>
      </c>
      <c r="F121" s="6" t="str">
        <f>PROPER(TRIM('RAW Data'!D119))</f>
        <v>East</v>
      </c>
      <c r="G121" s="22" t="str">
        <f>PROPER(TRIM('RAW Data'!E119))</f>
        <v>Manish</v>
      </c>
      <c r="H121" s="12"/>
      <c r="I121" s="24">
        <v>42</v>
      </c>
      <c r="J121" s="7">
        <v>800</v>
      </c>
      <c r="K121" s="8">
        <v>33600</v>
      </c>
      <c r="L121" s="12"/>
      <c r="M121" s="26">
        <v>45875</v>
      </c>
      <c r="N121" s="6" t="s">
        <v>262</v>
      </c>
      <c r="O121" s="6" t="s">
        <v>306</v>
      </c>
      <c r="P121" s="6" t="s">
        <v>29</v>
      </c>
      <c r="Q121" s="6" t="s">
        <v>46</v>
      </c>
      <c r="R121" s="7">
        <v>42</v>
      </c>
      <c r="S121" s="7">
        <v>800</v>
      </c>
      <c r="T121" s="8">
        <v>33600</v>
      </c>
      <c r="U121" s="12"/>
    </row>
    <row r="122" spans="1:21">
      <c r="A122" s="16" t="s">
        <v>122</v>
      </c>
      <c r="B122" s="17">
        <f t="shared" si="1"/>
        <v>45832</v>
      </c>
      <c r="C122" s="18">
        <f>IF(ISNUMBER(B122),B122,DATE(RIGHT(A122,4),MID(A122,4,2),LEFT(A122,2)))</f>
        <v>45832</v>
      </c>
      <c r="D122" s="12"/>
      <c r="E122" s="16" t="str">
        <f>PROPER(TRIM('RAW Data'!C120))</f>
        <v>Mobile</v>
      </c>
      <c r="F122" s="6" t="str">
        <f>PROPER(TRIM('RAW Data'!D120))</f>
        <v>East</v>
      </c>
      <c r="G122" s="22" t="str">
        <f>PROPER(TRIM('RAW Data'!E120))</f>
        <v>Tina</v>
      </c>
      <c r="H122" s="12"/>
      <c r="I122" s="24">
        <v>31</v>
      </c>
      <c r="J122" s="7">
        <v>30000</v>
      </c>
      <c r="K122" s="8">
        <v>930307</v>
      </c>
      <c r="L122" s="12"/>
      <c r="M122" s="26">
        <v>45832</v>
      </c>
      <c r="N122" s="6" t="s">
        <v>264</v>
      </c>
      <c r="O122" s="6" t="s">
        <v>23</v>
      </c>
      <c r="P122" s="6" t="s">
        <v>29</v>
      </c>
      <c r="Q122" s="6" t="s">
        <v>38</v>
      </c>
      <c r="R122" s="7">
        <v>31</v>
      </c>
      <c r="S122" s="7">
        <v>30000</v>
      </c>
      <c r="T122" s="8">
        <v>930307</v>
      </c>
      <c r="U122" s="12"/>
    </row>
    <row r="123" spans="1:21">
      <c r="A123" s="16" t="s">
        <v>265</v>
      </c>
      <c r="B123" s="17">
        <f t="shared" si="1"/>
        <v>45687</v>
      </c>
      <c r="C123" s="18">
        <f>IF(ISNUMBER(B123),B123,DATE(RIGHT(A123,4),MID(A123,4,2),LEFT(A123,2)))</f>
        <v>45687</v>
      </c>
      <c r="D123" s="12"/>
      <c r="E123" s="16" t="str">
        <f>PROPER(TRIM('RAW Data'!C121))</f>
        <v>Accessories</v>
      </c>
      <c r="F123" s="6" t="str">
        <f>PROPER(TRIM('RAW Data'!D121))</f>
        <v>West</v>
      </c>
      <c r="G123" s="22" t="str">
        <f>PROPER(TRIM('RAW Data'!E121))</f>
        <v>Amit</v>
      </c>
      <c r="H123" s="12"/>
      <c r="I123" s="24">
        <v>21</v>
      </c>
      <c r="J123" s="7">
        <v>15000</v>
      </c>
      <c r="K123" s="8">
        <v>315000</v>
      </c>
      <c r="L123" s="12"/>
      <c r="M123" s="26">
        <v>45687</v>
      </c>
      <c r="N123" s="6" t="s">
        <v>266</v>
      </c>
      <c r="O123" s="6" t="s">
        <v>15</v>
      </c>
      <c r="P123" s="6" t="s">
        <v>51</v>
      </c>
      <c r="Q123" s="6" t="s">
        <v>16</v>
      </c>
      <c r="R123" s="7">
        <v>21</v>
      </c>
      <c r="S123" s="7">
        <v>15000</v>
      </c>
      <c r="T123" s="8">
        <v>315000</v>
      </c>
      <c r="U123" s="12"/>
    </row>
    <row r="124" spans="1:21">
      <c r="A124" s="16" t="s">
        <v>267</v>
      </c>
      <c r="B124" s="17" t="e">
        <f t="shared" si="1"/>
        <v>#VALUE!</v>
      </c>
      <c r="C124" s="18">
        <f>IF(ISNUMBER(B124),B124,DATE(RIGHT(A124,4),MID(A124,4,2),LEFT(A124,2)))</f>
        <v>45705</v>
      </c>
      <c r="D124" s="12"/>
      <c r="E124" s="16" t="str">
        <f>PROPER(TRIM('RAW Data'!C122))</f>
        <v>Mobile</v>
      </c>
      <c r="F124" s="6" t="str">
        <f>PROPER(TRIM('RAW Data'!D122))</f>
        <v>South</v>
      </c>
      <c r="G124" s="22" t="str">
        <f>PROPER(TRIM('RAW Data'!E122))</f>
        <v>Riya</v>
      </c>
      <c r="H124" s="12"/>
      <c r="I124" s="24">
        <v>25</v>
      </c>
      <c r="J124" s="7">
        <v>30000</v>
      </c>
      <c r="K124" s="8">
        <v>750000</v>
      </c>
      <c r="L124" s="12"/>
      <c r="M124" s="26">
        <v>45705</v>
      </c>
      <c r="N124" s="6" t="s">
        <v>268</v>
      </c>
      <c r="O124" s="6" t="s">
        <v>23</v>
      </c>
      <c r="P124" s="6" t="s">
        <v>11</v>
      </c>
      <c r="Q124" s="6" t="s">
        <v>30</v>
      </c>
      <c r="R124" s="7">
        <v>25</v>
      </c>
      <c r="S124" s="7">
        <v>30000</v>
      </c>
      <c r="T124" s="8">
        <v>750000</v>
      </c>
      <c r="U124" s="12"/>
    </row>
    <row r="125" spans="1:21">
      <c r="A125" s="16" t="s">
        <v>269</v>
      </c>
      <c r="B125" s="17">
        <f t="shared" si="1"/>
        <v>45660</v>
      </c>
      <c r="C125" s="18">
        <f>IF(ISNUMBER(B125),B125,DATE(RIGHT(A125,4),MID(A125,4,2),LEFT(A125,2)))</f>
        <v>45660</v>
      </c>
      <c r="D125" s="12"/>
      <c r="E125" s="16" t="str">
        <f>PROPER(TRIM('RAW Data'!C123))</f>
        <v>Mobile</v>
      </c>
      <c r="F125" s="6" t="str">
        <f>PROPER(TRIM('RAW Data'!D123))</f>
        <v>North</v>
      </c>
      <c r="G125" s="22" t="str">
        <f>PROPER(TRIM('RAW Data'!E123))</f>
        <v>Priya</v>
      </c>
      <c r="H125" s="12"/>
      <c r="I125" s="24">
        <v>5</v>
      </c>
      <c r="J125" s="7">
        <v>15000</v>
      </c>
      <c r="K125" s="8">
        <v>75000</v>
      </c>
      <c r="L125" s="12"/>
      <c r="M125" s="26">
        <v>45660</v>
      </c>
      <c r="N125" s="6" t="s">
        <v>270</v>
      </c>
      <c r="O125" s="6" t="s">
        <v>23</v>
      </c>
      <c r="P125" s="6" t="s">
        <v>24</v>
      </c>
      <c r="Q125" s="6" t="s">
        <v>61</v>
      </c>
      <c r="R125" s="7">
        <v>5</v>
      </c>
      <c r="S125" s="7">
        <v>15000</v>
      </c>
      <c r="T125" s="8">
        <v>75000</v>
      </c>
      <c r="U125" s="12"/>
    </row>
    <row r="126" spans="1:21">
      <c r="A126" s="16" t="s">
        <v>271</v>
      </c>
      <c r="B126" s="17">
        <f t="shared" si="1"/>
        <v>45725</v>
      </c>
      <c r="C126" s="18">
        <f>IF(ISNUMBER(B126),B126,DATE(RIGHT(A126,4),MID(A126,4,2),LEFT(A126,2)))</f>
        <v>45725</v>
      </c>
      <c r="D126" s="12"/>
      <c r="E126" s="16" t="str">
        <f>PROPER(TRIM('RAW Data'!C124))</f>
        <v>Tablet</v>
      </c>
      <c r="F126" s="6" t="str">
        <f>PROPER(TRIM('RAW Data'!D124))</f>
        <v>East</v>
      </c>
      <c r="G126" s="22" t="str">
        <f>PROPER(TRIM('RAW Data'!E124))</f>
        <v>Priya</v>
      </c>
      <c r="H126" s="12"/>
      <c r="I126" s="24">
        <v>23</v>
      </c>
      <c r="J126" s="7">
        <v>25000</v>
      </c>
      <c r="K126" s="8">
        <v>575000</v>
      </c>
      <c r="L126" s="12"/>
      <c r="M126" s="26">
        <v>45725</v>
      </c>
      <c r="N126" s="6" t="s">
        <v>272</v>
      </c>
      <c r="O126" s="6" t="s">
        <v>19</v>
      </c>
      <c r="P126" s="6" t="s">
        <v>29</v>
      </c>
      <c r="Q126" s="6" t="s">
        <v>61</v>
      </c>
      <c r="R126" s="7">
        <v>23</v>
      </c>
      <c r="S126" s="7">
        <v>25000</v>
      </c>
      <c r="T126" s="8">
        <v>575000</v>
      </c>
      <c r="U126" s="12"/>
    </row>
    <row r="127" spans="1:21">
      <c r="A127" s="16" t="s">
        <v>273</v>
      </c>
      <c r="B127" s="17">
        <f t="shared" si="1"/>
        <v>45781</v>
      </c>
      <c r="C127" s="18">
        <f>IF(ISNUMBER(B127),B127,DATE(RIGHT(A127,4),MID(A127,4,2),LEFT(A127,2)))</f>
        <v>45781</v>
      </c>
      <c r="D127" s="12"/>
      <c r="E127" s="16" t="str">
        <f>PROPER(TRIM('RAW Data'!C125))</f>
        <v>Accessories</v>
      </c>
      <c r="F127" s="6" t="str">
        <f>PROPER(TRIM('RAW Data'!D125))</f>
        <v>South</v>
      </c>
      <c r="G127" s="22" t="str">
        <f>PROPER(TRIM('RAW Data'!E125))</f>
        <v/>
      </c>
      <c r="H127" s="12"/>
      <c r="I127" s="24">
        <v>16</v>
      </c>
      <c r="J127" s="7">
        <v>50000</v>
      </c>
      <c r="K127" s="8">
        <v>800000</v>
      </c>
      <c r="L127" s="12"/>
      <c r="M127" s="26">
        <v>45781</v>
      </c>
      <c r="N127" s="6" t="s">
        <v>274</v>
      </c>
      <c r="O127" s="6" t="s">
        <v>15</v>
      </c>
      <c r="P127" s="6" t="s">
        <v>11</v>
      </c>
      <c r="Q127" s="6" t="s">
        <v>411</v>
      </c>
      <c r="R127" s="7">
        <v>16</v>
      </c>
      <c r="S127" s="7">
        <v>50000</v>
      </c>
      <c r="T127" s="8">
        <v>800000</v>
      </c>
      <c r="U127" s="12"/>
    </row>
    <row r="128" spans="1:21">
      <c r="A128" s="16" t="s">
        <v>275</v>
      </c>
      <c r="B128" s="17">
        <f t="shared" si="1"/>
        <v>45786</v>
      </c>
      <c r="C128" s="18">
        <f>IF(ISNUMBER(B128),B128,DATE(RIGHT(A128,4),MID(A128,4,2),LEFT(A128,2)))</f>
        <v>45786</v>
      </c>
      <c r="D128" s="12"/>
      <c r="E128" s="16" t="str">
        <f>PROPER(TRIM('RAW Data'!C126))</f>
        <v>Accessories</v>
      </c>
      <c r="F128" s="6" t="str">
        <f>PROPER(TRIM('RAW Data'!D126))</f>
        <v>West</v>
      </c>
      <c r="G128" s="22" t="str">
        <f>PROPER(TRIM('RAW Data'!E126))</f>
        <v>Karan</v>
      </c>
      <c r="H128" s="12"/>
      <c r="I128" s="24">
        <v>26</v>
      </c>
      <c r="J128" s="7">
        <v>50000</v>
      </c>
      <c r="K128" s="8">
        <v>1300000</v>
      </c>
      <c r="L128" s="12"/>
      <c r="M128" s="26">
        <v>45786</v>
      </c>
      <c r="N128" s="6" t="s">
        <v>276</v>
      </c>
      <c r="O128" s="6" t="s">
        <v>15</v>
      </c>
      <c r="P128" s="6" t="s">
        <v>51</v>
      </c>
      <c r="Q128" s="6" t="s">
        <v>33</v>
      </c>
      <c r="R128" s="7">
        <v>26</v>
      </c>
      <c r="S128" s="7">
        <v>50000</v>
      </c>
      <c r="T128" s="8">
        <v>1300000</v>
      </c>
      <c r="U128" s="12"/>
    </row>
    <row r="129" spans="1:21">
      <c r="A129" s="16" t="s">
        <v>277</v>
      </c>
      <c r="B129" s="17">
        <f t="shared" si="1"/>
        <v>45780</v>
      </c>
      <c r="C129" s="18">
        <f>IF(ISNUMBER(B129),B129,DATE(RIGHT(A129,4),MID(A129,4,2),LEFT(A129,2)))</f>
        <v>45780</v>
      </c>
      <c r="D129" s="12"/>
      <c r="E129" s="16" t="str">
        <f>PROPER(TRIM('RAW Data'!C127))</f>
        <v>Laptop</v>
      </c>
      <c r="F129" s="6" t="str">
        <f>PROPER(TRIM('RAW Data'!D127))</f>
        <v>South</v>
      </c>
      <c r="G129" s="22" t="str">
        <f>PROPER(TRIM('RAW Data'!E127))</f>
        <v>Riya</v>
      </c>
      <c r="H129" s="12"/>
      <c r="I129" s="24">
        <v>38</v>
      </c>
      <c r="J129" s="7">
        <v>800</v>
      </c>
      <c r="K129" s="8">
        <v>30400</v>
      </c>
      <c r="L129" s="12"/>
      <c r="M129" s="26">
        <v>45780</v>
      </c>
      <c r="N129" s="6" t="s">
        <v>278</v>
      </c>
      <c r="O129" s="6" t="s">
        <v>10</v>
      </c>
      <c r="P129" s="6" t="s">
        <v>11</v>
      </c>
      <c r="Q129" s="6" t="s">
        <v>30</v>
      </c>
      <c r="R129" s="7">
        <v>38</v>
      </c>
      <c r="S129" s="7">
        <v>800</v>
      </c>
      <c r="T129" s="8">
        <v>30400</v>
      </c>
      <c r="U129" s="12"/>
    </row>
    <row r="130" spans="1:21">
      <c r="A130" s="16" t="s">
        <v>279</v>
      </c>
      <c r="B130" s="17">
        <f t="shared" si="1"/>
        <v>45796</v>
      </c>
      <c r="C130" s="18">
        <f>IF(ISNUMBER(B130),B130,DATE(RIGHT(A130,4),MID(A130,4,2),LEFT(A130,2)))</f>
        <v>45796</v>
      </c>
      <c r="D130" s="12"/>
      <c r="E130" s="16" t="str">
        <f>PROPER(TRIM('RAW Data'!C128))</f>
        <v>Tablet</v>
      </c>
      <c r="F130" s="6" t="str">
        <f>PROPER(TRIM('RAW Data'!D128))</f>
        <v>East</v>
      </c>
      <c r="G130" s="22" t="str">
        <f>PROPER(TRIM('RAW Data'!E128))</f>
        <v>Rohit</v>
      </c>
      <c r="H130" s="12"/>
      <c r="I130" s="24">
        <v>31</v>
      </c>
      <c r="J130" s="7">
        <v>800</v>
      </c>
      <c r="K130" s="8">
        <v>24800</v>
      </c>
      <c r="L130" s="12"/>
      <c r="M130" s="26">
        <v>45796</v>
      </c>
      <c r="N130" s="6" t="s">
        <v>280</v>
      </c>
      <c r="O130" s="6" t="s">
        <v>19</v>
      </c>
      <c r="P130" s="6" t="s">
        <v>29</v>
      </c>
      <c r="Q130" s="6" t="s">
        <v>12</v>
      </c>
      <c r="R130" s="7">
        <v>31</v>
      </c>
      <c r="S130" s="7">
        <v>800</v>
      </c>
      <c r="T130" s="8">
        <v>24800</v>
      </c>
      <c r="U130" s="12"/>
    </row>
    <row r="131" spans="1:21">
      <c r="A131" s="16" t="s">
        <v>148</v>
      </c>
      <c r="B131" s="17">
        <f t="shared" si="1"/>
        <v>45711</v>
      </c>
      <c r="C131" s="18">
        <f>IF(ISNUMBER(B131),B131,DATE(RIGHT(A131,4),MID(A131,4,2),LEFT(A131,2)))</f>
        <v>45711</v>
      </c>
      <c r="D131" s="12"/>
      <c r="E131" s="16" t="str">
        <f>PROPER(TRIM('RAW Data'!C129))</f>
        <v>Mobile</v>
      </c>
      <c r="F131" s="6" t="str">
        <f>PROPER(TRIM('RAW Data'!D129))</f>
        <v>East</v>
      </c>
      <c r="G131" s="22" t="str">
        <f>PROPER(TRIM('RAW Data'!E129))</f>
        <v>Tina</v>
      </c>
      <c r="H131" s="12"/>
      <c r="I131" s="24">
        <v>14</v>
      </c>
      <c r="J131" s="7">
        <v>1200</v>
      </c>
      <c r="K131" s="8">
        <v>16800</v>
      </c>
      <c r="L131" s="12"/>
      <c r="M131" s="26">
        <v>45711</v>
      </c>
      <c r="N131" s="6" t="s">
        <v>281</v>
      </c>
      <c r="O131" s="6" t="s">
        <v>23</v>
      </c>
      <c r="P131" s="6" t="s">
        <v>29</v>
      </c>
      <c r="Q131" s="6" t="s">
        <v>38</v>
      </c>
      <c r="R131" s="7">
        <v>14</v>
      </c>
      <c r="S131" s="7">
        <v>1200</v>
      </c>
      <c r="T131" s="8">
        <v>16800</v>
      </c>
      <c r="U131" s="12"/>
    </row>
    <row r="132" spans="1:21">
      <c r="A132" s="16" t="s">
        <v>282</v>
      </c>
      <c r="B132" s="17" t="e">
        <f t="shared" si="1"/>
        <v>#VALUE!</v>
      </c>
      <c r="C132" s="18">
        <f>IF(ISNUMBER(B132),B132,DATE(RIGHT(A132,4),MID(A132,4,2),LEFT(A132,2)))</f>
        <v>45761</v>
      </c>
      <c r="D132" s="12"/>
      <c r="E132" s="16" t="str">
        <f>PROPER(TRIM('RAW Data'!C130))</f>
        <v>Accessories</v>
      </c>
      <c r="F132" s="6" t="str">
        <f>PROPER(TRIM('RAW Data'!D130))</f>
        <v>North</v>
      </c>
      <c r="G132" s="22" t="str">
        <f>PROPER(TRIM('RAW Data'!E130))</f>
        <v>Rohit</v>
      </c>
      <c r="H132" s="12"/>
      <c r="I132" s="24">
        <v>26</v>
      </c>
      <c r="J132" s="7">
        <v>800</v>
      </c>
      <c r="K132" s="8">
        <v>20800</v>
      </c>
      <c r="L132" s="12"/>
      <c r="M132" s="26">
        <v>45761</v>
      </c>
      <c r="N132" s="6" t="s">
        <v>283</v>
      </c>
      <c r="O132" s="6" t="s">
        <v>15</v>
      </c>
      <c r="P132" s="6" t="s">
        <v>24</v>
      </c>
      <c r="Q132" s="6" t="s">
        <v>12</v>
      </c>
      <c r="R132" s="7">
        <v>26</v>
      </c>
      <c r="S132" s="7">
        <v>800</v>
      </c>
      <c r="T132" s="8">
        <v>20800</v>
      </c>
      <c r="U132" s="12"/>
    </row>
    <row r="133" spans="1:21">
      <c r="A133" s="16" t="s">
        <v>284</v>
      </c>
      <c r="B133" s="17" t="e">
        <f t="shared" ref="B133:B196" si="2">VALUE(A133)</f>
        <v>#VALUE!</v>
      </c>
      <c r="C133" s="18">
        <f>IF(ISNUMBER(B133),B133,DATE(RIGHT(A133,4),MID(A133,4,2),LEFT(A133,2)))</f>
        <v>45704</v>
      </c>
      <c r="D133" s="12"/>
      <c r="E133" s="16" t="str">
        <f>PROPER(TRIM('RAW Data'!C131))</f>
        <v>Accessories</v>
      </c>
      <c r="F133" s="6" t="str">
        <f>PROPER(TRIM('RAW Data'!D131))</f>
        <v>North</v>
      </c>
      <c r="G133" s="22" t="str">
        <f>PROPER(TRIM('RAW Data'!E131))</f>
        <v>Amit</v>
      </c>
      <c r="H133" s="12"/>
      <c r="I133" s="24">
        <v>28</v>
      </c>
      <c r="J133" s="7">
        <v>800</v>
      </c>
      <c r="K133" s="8">
        <v>22400</v>
      </c>
      <c r="L133" s="12"/>
      <c r="M133" s="26">
        <v>45704</v>
      </c>
      <c r="N133" s="6" t="s">
        <v>285</v>
      </c>
      <c r="O133" s="6" t="s">
        <v>15</v>
      </c>
      <c r="P133" s="6" t="s">
        <v>24</v>
      </c>
      <c r="Q133" s="6" t="s">
        <v>16</v>
      </c>
      <c r="R133" s="7">
        <v>28</v>
      </c>
      <c r="S133" s="7">
        <v>800</v>
      </c>
      <c r="T133" s="8">
        <v>22400</v>
      </c>
      <c r="U133" s="12"/>
    </row>
    <row r="134" spans="1:21">
      <c r="A134" s="16" t="s">
        <v>286</v>
      </c>
      <c r="B134" s="17">
        <f t="shared" si="2"/>
        <v>45743</v>
      </c>
      <c r="C134" s="18">
        <f>IF(ISNUMBER(B134),B134,DATE(RIGHT(A134,4),MID(A134,4,2),LEFT(A134,2)))</f>
        <v>45743</v>
      </c>
      <c r="D134" s="12"/>
      <c r="E134" s="16" t="str">
        <f>PROPER(TRIM('RAW Data'!C132))</f>
        <v>Tablet</v>
      </c>
      <c r="F134" s="6" t="str">
        <f>PROPER(TRIM('RAW Data'!D132))</f>
        <v>South</v>
      </c>
      <c r="G134" s="22" t="str">
        <f>PROPER(TRIM('RAW Data'!E132))</f>
        <v>Manish</v>
      </c>
      <c r="H134" s="12"/>
      <c r="I134" s="24">
        <v>41</v>
      </c>
      <c r="J134" s="7">
        <v>1200</v>
      </c>
      <c r="K134" s="8">
        <v>49200</v>
      </c>
      <c r="L134" s="12"/>
      <c r="M134" s="26">
        <v>45743</v>
      </c>
      <c r="N134" s="6" t="s">
        <v>287</v>
      </c>
      <c r="O134" s="6" t="s">
        <v>19</v>
      </c>
      <c r="P134" s="6" t="s">
        <v>11</v>
      </c>
      <c r="Q134" s="6" t="s">
        <v>46</v>
      </c>
      <c r="R134" s="7">
        <v>41</v>
      </c>
      <c r="S134" s="7">
        <v>1200</v>
      </c>
      <c r="T134" s="8">
        <v>49200</v>
      </c>
      <c r="U134" s="12"/>
    </row>
    <row r="135" spans="1:21">
      <c r="A135" s="16" t="s">
        <v>288</v>
      </c>
      <c r="B135" s="17">
        <f t="shared" si="2"/>
        <v>45837</v>
      </c>
      <c r="C135" s="18">
        <f>IF(ISNUMBER(B135),B135,DATE(RIGHT(A135,4),MID(A135,4,2),LEFT(A135,2)))</f>
        <v>45837</v>
      </c>
      <c r="D135" s="12"/>
      <c r="E135" s="16" t="str">
        <f>PROPER(TRIM('RAW Data'!C133))</f>
        <v>Mobile</v>
      </c>
      <c r="F135" s="6" t="str">
        <f>PROPER(TRIM('RAW Data'!D133))</f>
        <v>South</v>
      </c>
      <c r="G135" s="22" t="str">
        <f>PROPER(TRIM('RAW Data'!E133))</f>
        <v>Karan</v>
      </c>
      <c r="H135" s="12"/>
      <c r="I135" s="24">
        <v>25</v>
      </c>
      <c r="J135" s="7">
        <v>30000</v>
      </c>
      <c r="K135" s="8">
        <v>750000</v>
      </c>
      <c r="L135" s="12"/>
      <c r="M135" s="26">
        <v>45837</v>
      </c>
      <c r="N135" s="6" t="s">
        <v>289</v>
      </c>
      <c r="O135" s="6" t="s">
        <v>23</v>
      </c>
      <c r="P135" s="6" t="s">
        <v>11</v>
      </c>
      <c r="Q135" s="6" t="s">
        <v>33</v>
      </c>
      <c r="R135" s="7">
        <v>25</v>
      </c>
      <c r="S135" s="7">
        <v>30000</v>
      </c>
      <c r="T135" s="8">
        <v>750000</v>
      </c>
      <c r="U135" s="12"/>
    </row>
    <row r="136" spans="1:21">
      <c r="A136" s="16" t="s">
        <v>168</v>
      </c>
      <c r="B136" s="17" t="e">
        <f t="shared" si="2"/>
        <v>#VALUE!</v>
      </c>
      <c r="C136" s="18">
        <f>IF(ISNUMBER(B136),B136,DATE(RIGHT(A136,4),MID(A136,4,2),LEFT(A136,2)))</f>
        <v>45672</v>
      </c>
      <c r="D136" s="12"/>
      <c r="E136" s="16" t="str">
        <f>PROPER(TRIM('RAW Data'!C134))</f>
        <v>Accessories</v>
      </c>
      <c r="F136" s="6" t="str">
        <f>PROPER(TRIM('RAW Data'!D134))</f>
        <v>South</v>
      </c>
      <c r="G136" s="22" t="str">
        <f>PROPER(TRIM('RAW Data'!E134))</f>
        <v>Neha</v>
      </c>
      <c r="H136" s="12"/>
      <c r="I136" s="24">
        <v>12</v>
      </c>
      <c r="J136" s="7">
        <v>1200</v>
      </c>
      <c r="K136" s="8">
        <v>14400</v>
      </c>
      <c r="L136" s="12"/>
      <c r="M136" s="26">
        <v>45672</v>
      </c>
      <c r="N136" s="6" t="s">
        <v>290</v>
      </c>
      <c r="O136" s="6" t="s">
        <v>15</v>
      </c>
      <c r="P136" s="6" t="s">
        <v>11</v>
      </c>
      <c r="Q136" s="6" t="s">
        <v>25</v>
      </c>
      <c r="R136" s="7">
        <v>12</v>
      </c>
      <c r="S136" s="7">
        <v>1200</v>
      </c>
      <c r="T136" s="8">
        <v>14400</v>
      </c>
      <c r="U136" s="12"/>
    </row>
    <row r="137" spans="1:21">
      <c r="A137" s="16" t="s">
        <v>112</v>
      </c>
      <c r="B137" s="17" t="e">
        <f t="shared" si="2"/>
        <v>#VALUE!</v>
      </c>
      <c r="C137" s="18">
        <f>IF(ISNUMBER(B137),B137,DATE(RIGHT(A137,4),MID(A137,4,2),LEFT(A137,2)))</f>
        <v>45760</v>
      </c>
      <c r="D137" s="12"/>
      <c r="E137" s="16" t="str">
        <f>PROPER(TRIM('RAW Data'!C135))</f>
        <v>Mobile</v>
      </c>
      <c r="F137" s="6" t="str">
        <f>PROPER(TRIM('RAW Data'!D135))</f>
        <v>East</v>
      </c>
      <c r="G137" s="22" t="str">
        <f>PROPER(TRIM('RAW Data'!E135))</f>
        <v>Manish</v>
      </c>
      <c r="H137" s="12"/>
      <c r="I137" s="24">
        <v>46</v>
      </c>
      <c r="J137" s="7">
        <v>15000</v>
      </c>
      <c r="K137" s="8">
        <v>690000</v>
      </c>
      <c r="L137" s="12"/>
      <c r="M137" s="26">
        <v>45760</v>
      </c>
      <c r="N137" s="6" t="s">
        <v>291</v>
      </c>
      <c r="O137" s="6" t="s">
        <v>23</v>
      </c>
      <c r="P137" s="6" t="s">
        <v>29</v>
      </c>
      <c r="Q137" s="6" t="s">
        <v>46</v>
      </c>
      <c r="R137" s="7">
        <v>46</v>
      </c>
      <c r="S137" s="7">
        <v>15000</v>
      </c>
      <c r="T137" s="8">
        <v>690000</v>
      </c>
      <c r="U137" s="12"/>
    </row>
    <row r="138" spans="1:21">
      <c r="A138" s="16" t="s">
        <v>124</v>
      </c>
      <c r="B138" s="17">
        <f t="shared" si="2"/>
        <v>45705</v>
      </c>
      <c r="C138" s="18">
        <f>IF(ISNUMBER(B138),B138,DATE(RIGHT(A138,4),MID(A138,4,2),LEFT(A138,2)))</f>
        <v>45705</v>
      </c>
      <c r="D138" s="12"/>
      <c r="E138" s="16" t="str">
        <f>PROPER(TRIM('RAW Data'!C136))</f>
        <v>Tablet</v>
      </c>
      <c r="F138" s="6" t="str">
        <f>PROPER(TRIM('RAW Data'!D136))</f>
        <v>East</v>
      </c>
      <c r="G138" s="22" t="str">
        <f>PROPER(TRIM('RAW Data'!E136))</f>
        <v>Sonia</v>
      </c>
      <c r="H138" s="12"/>
      <c r="I138" s="24">
        <v>41</v>
      </c>
      <c r="J138" s="7">
        <v>800</v>
      </c>
      <c r="K138" s="8">
        <v>32800</v>
      </c>
      <c r="L138" s="12"/>
      <c r="M138" s="26">
        <v>45705</v>
      </c>
      <c r="N138" s="6" t="s">
        <v>292</v>
      </c>
      <c r="O138" s="6" t="s">
        <v>19</v>
      </c>
      <c r="P138" s="6" t="s">
        <v>29</v>
      </c>
      <c r="Q138" s="6" t="s">
        <v>20</v>
      </c>
      <c r="R138" s="7">
        <v>41</v>
      </c>
      <c r="S138" s="7">
        <v>800</v>
      </c>
      <c r="T138" s="8">
        <v>32800</v>
      </c>
      <c r="U138" s="12"/>
    </row>
    <row r="139" spans="1:21">
      <c r="A139" s="16" t="s">
        <v>293</v>
      </c>
      <c r="B139" s="17">
        <f t="shared" si="2"/>
        <v>45676</v>
      </c>
      <c r="C139" s="18">
        <f>IF(ISNUMBER(B139),B139,DATE(RIGHT(A139,4),MID(A139,4,2),LEFT(A139,2)))</f>
        <v>45676</v>
      </c>
      <c r="D139" s="12"/>
      <c r="E139" s="16" t="str">
        <f>PROPER(TRIM('RAW Data'!C137))</f>
        <v>Moblie</v>
      </c>
      <c r="F139" s="6" t="str">
        <f>PROPER(TRIM('RAW Data'!D137))</f>
        <v>West</v>
      </c>
      <c r="G139" s="22" t="str">
        <f>PROPER(TRIM('RAW Data'!E137))</f>
        <v>Sonia</v>
      </c>
      <c r="H139" s="12"/>
      <c r="I139" s="24">
        <v>31</v>
      </c>
      <c r="J139" s="7">
        <v>50000</v>
      </c>
      <c r="K139" s="8">
        <v>1550000</v>
      </c>
      <c r="L139" s="12"/>
      <c r="M139" s="26">
        <v>45676</v>
      </c>
      <c r="N139" s="6" t="s">
        <v>294</v>
      </c>
      <c r="O139" s="6" t="s">
        <v>116</v>
      </c>
      <c r="P139" s="6" t="s">
        <v>51</v>
      </c>
      <c r="Q139" s="6" t="s">
        <v>20</v>
      </c>
      <c r="R139" s="7">
        <v>31</v>
      </c>
      <c r="S139" s="7">
        <v>50000</v>
      </c>
      <c r="T139" s="8">
        <v>1550000</v>
      </c>
      <c r="U139" s="12"/>
    </row>
    <row r="140" spans="1:21">
      <c r="A140" s="16" t="s">
        <v>284</v>
      </c>
      <c r="B140" s="17" t="e">
        <f t="shared" si="2"/>
        <v>#VALUE!</v>
      </c>
      <c r="C140" s="18">
        <f>IF(ISNUMBER(B140),B140,DATE(RIGHT(A140,4),MID(A140,4,2),LEFT(A140,2)))</f>
        <v>45704</v>
      </c>
      <c r="D140" s="12"/>
      <c r="E140" s="16" t="str">
        <f>PROPER(TRIM('RAW Data'!C138))</f>
        <v>Laptop</v>
      </c>
      <c r="F140" s="6" t="str">
        <f>PROPER(TRIM('RAW Data'!D138))</f>
        <v>South</v>
      </c>
      <c r="G140" s="22" t="str">
        <f>PROPER(TRIM('RAW Data'!E138))</f>
        <v>Sonia</v>
      </c>
      <c r="H140" s="12"/>
      <c r="I140" s="24">
        <v>35</v>
      </c>
      <c r="J140" s="7">
        <v>25000</v>
      </c>
      <c r="K140" s="8">
        <v>875000</v>
      </c>
      <c r="L140" s="12"/>
      <c r="M140" s="26">
        <v>45704</v>
      </c>
      <c r="N140" s="6" t="s">
        <v>295</v>
      </c>
      <c r="O140" s="6" t="s">
        <v>10</v>
      </c>
      <c r="P140" s="6" t="s">
        <v>11</v>
      </c>
      <c r="Q140" s="6" t="s">
        <v>20</v>
      </c>
      <c r="R140" s="7">
        <v>35</v>
      </c>
      <c r="S140" s="7">
        <v>25000</v>
      </c>
      <c r="T140" s="8">
        <v>875000</v>
      </c>
      <c r="U140" s="12"/>
    </row>
    <row r="141" spans="1:21">
      <c r="A141" s="16" t="s">
        <v>296</v>
      </c>
      <c r="B141" s="17">
        <f t="shared" si="2"/>
        <v>45764</v>
      </c>
      <c r="C141" s="18">
        <f>IF(ISNUMBER(B141),B141,DATE(RIGHT(A141,4),MID(A141,4,2),LEFT(A141,2)))</f>
        <v>45764</v>
      </c>
      <c r="D141" s="12"/>
      <c r="E141" s="16" t="str">
        <f>PROPER(TRIM('RAW Data'!C139))</f>
        <v>Tablet</v>
      </c>
      <c r="F141" s="6" t="str">
        <f>PROPER(TRIM('RAW Data'!D139))</f>
        <v>East</v>
      </c>
      <c r="G141" s="22" t="str">
        <f>PROPER(TRIM('RAW Data'!E139))</f>
        <v>Tina</v>
      </c>
      <c r="H141" s="12"/>
      <c r="I141" s="24">
        <v>35</v>
      </c>
      <c r="J141" s="7">
        <v>50000</v>
      </c>
      <c r="K141" s="8">
        <v>1750000</v>
      </c>
      <c r="L141" s="12"/>
      <c r="M141" s="26">
        <v>45764</v>
      </c>
      <c r="N141" s="6" t="s">
        <v>297</v>
      </c>
      <c r="O141" s="6" t="s">
        <v>19</v>
      </c>
      <c r="P141" s="6" t="s">
        <v>29</v>
      </c>
      <c r="Q141" s="6" t="s">
        <v>38</v>
      </c>
      <c r="R141" s="7">
        <v>35</v>
      </c>
      <c r="S141" s="7">
        <v>50000</v>
      </c>
      <c r="T141" s="8">
        <v>1750000</v>
      </c>
      <c r="U141" s="12"/>
    </row>
    <row r="142" spans="1:21">
      <c r="A142" s="16" t="s">
        <v>136</v>
      </c>
      <c r="B142" s="17">
        <f t="shared" si="2"/>
        <v>45815</v>
      </c>
      <c r="C142" s="18">
        <f>IF(ISNUMBER(B142),B142,DATE(RIGHT(A142,4),MID(A142,4,2),LEFT(A142,2)))</f>
        <v>45815</v>
      </c>
      <c r="D142" s="12"/>
      <c r="E142" s="16" t="str">
        <f>PROPER(TRIM('RAW Data'!C140))</f>
        <v>Laptop</v>
      </c>
      <c r="F142" s="6" t="str">
        <f>PROPER(TRIM('RAW Data'!D140))</f>
        <v>West</v>
      </c>
      <c r="G142" s="22" t="str">
        <f>PROPER(TRIM('RAW Data'!E140))</f>
        <v>Rohit</v>
      </c>
      <c r="H142" s="12"/>
      <c r="I142" s="24">
        <v>2</v>
      </c>
      <c r="J142" s="7">
        <v>1200</v>
      </c>
      <c r="K142" s="8">
        <v>2400</v>
      </c>
      <c r="L142" s="12"/>
      <c r="M142" s="26">
        <v>45815</v>
      </c>
      <c r="N142" s="6" t="s">
        <v>298</v>
      </c>
      <c r="O142" s="6" t="s">
        <v>10</v>
      </c>
      <c r="P142" s="6" t="s">
        <v>51</v>
      </c>
      <c r="Q142" s="6" t="s">
        <v>12</v>
      </c>
      <c r="R142" s="7">
        <v>2</v>
      </c>
      <c r="S142" s="7">
        <v>1200</v>
      </c>
      <c r="T142" s="8">
        <v>2400</v>
      </c>
      <c r="U142" s="12"/>
    </row>
    <row r="143" spans="1:21">
      <c r="A143" s="16" t="s">
        <v>299</v>
      </c>
      <c r="B143" s="17" t="e">
        <f t="shared" si="2"/>
        <v>#VALUE!</v>
      </c>
      <c r="C143" s="18">
        <f>IF(ISNUMBER(B143),B143,DATE(RIGHT(A143,4),MID(A143,4,2),LEFT(A143,2)))</f>
        <v>45676</v>
      </c>
      <c r="D143" s="12"/>
      <c r="E143" s="16" t="str">
        <f>PROPER(TRIM('RAW Data'!C141))</f>
        <v>Lapotp</v>
      </c>
      <c r="F143" s="6" t="str">
        <f>PROPER(TRIM('RAW Data'!D141))</f>
        <v>West</v>
      </c>
      <c r="G143" s="22" t="str">
        <f>PROPER(TRIM('RAW Data'!E141))</f>
        <v>Karan</v>
      </c>
      <c r="H143" s="12"/>
      <c r="I143" s="24">
        <v>32</v>
      </c>
      <c r="J143" s="7">
        <v>1200</v>
      </c>
      <c r="K143" s="8">
        <v>38400</v>
      </c>
      <c r="L143" s="12"/>
      <c r="M143" s="26">
        <v>45676</v>
      </c>
      <c r="N143" s="6" t="s">
        <v>300</v>
      </c>
      <c r="O143" s="6" t="s">
        <v>143</v>
      </c>
      <c r="P143" s="6" t="s">
        <v>51</v>
      </c>
      <c r="Q143" s="6" t="s">
        <v>33</v>
      </c>
      <c r="R143" s="7">
        <v>32</v>
      </c>
      <c r="S143" s="7">
        <v>1200</v>
      </c>
      <c r="T143" s="8">
        <v>38400</v>
      </c>
      <c r="U143" s="12"/>
    </row>
    <row r="144" spans="1:21">
      <c r="A144" s="16" t="s">
        <v>301</v>
      </c>
      <c r="B144" s="17">
        <f t="shared" si="2"/>
        <v>45807</v>
      </c>
      <c r="C144" s="18">
        <f>IF(ISNUMBER(B144),B144,DATE(RIGHT(A144,4),MID(A144,4,2),LEFT(A144,2)))</f>
        <v>45807</v>
      </c>
      <c r="D144" s="12"/>
      <c r="E144" s="16" t="str">
        <f>PROPER(TRIM('RAW Data'!C142))</f>
        <v>Tablet</v>
      </c>
      <c r="F144" s="6" t="str">
        <f>PROPER(TRIM('RAW Data'!D142))</f>
        <v>North</v>
      </c>
      <c r="G144" s="22" t="str">
        <f>PROPER(TRIM('RAW Data'!E142))</f>
        <v>Vivek</v>
      </c>
      <c r="H144" s="12"/>
      <c r="I144" s="24">
        <v>50</v>
      </c>
      <c r="J144" s="7">
        <v>30000</v>
      </c>
      <c r="K144" s="8">
        <v>1500000</v>
      </c>
      <c r="L144" s="12"/>
      <c r="M144" s="26">
        <v>45807</v>
      </c>
      <c r="N144" s="6" t="s">
        <v>302</v>
      </c>
      <c r="O144" s="6" t="s">
        <v>19</v>
      </c>
      <c r="P144" s="6" t="s">
        <v>24</v>
      </c>
      <c r="Q144" s="6" t="s">
        <v>72</v>
      </c>
      <c r="R144" s="7">
        <v>50</v>
      </c>
      <c r="S144" s="7">
        <v>30000</v>
      </c>
      <c r="T144" s="8">
        <v>1500000</v>
      </c>
      <c r="U144" s="12"/>
    </row>
    <row r="145" spans="1:21">
      <c r="A145" s="16" t="s">
        <v>303</v>
      </c>
      <c r="B145" s="17">
        <f t="shared" si="2"/>
        <v>45769</v>
      </c>
      <c r="C145" s="18">
        <f>IF(ISNUMBER(B145),B145,DATE(RIGHT(A145,4),MID(A145,4,2),LEFT(A145,2)))</f>
        <v>45769</v>
      </c>
      <c r="D145" s="12"/>
      <c r="E145" s="16" t="str">
        <f>PROPER(TRIM('RAW Data'!C143))</f>
        <v>Accessories</v>
      </c>
      <c r="F145" s="6" t="str">
        <f>PROPER(TRIM('RAW Data'!D143))</f>
        <v>West</v>
      </c>
      <c r="G145" s="22" t="str">
        <f>PROPER(TRIM('RAW Data'!E143))</f>
        <v/>
      </c>
      <c r="H145" s="12"/>
      <c r="I145" s="24">
        <v>10</v>
      </c>
      <c r="J145" s="7">
        <v>15000</v>
      </c>
      <c r="K145" s="8">
        <v>149305</v>
      </c>
      <c r="L145" s="12"/>
      <c r="M145" s="26">
        <v>45769</v>
      </c>
      <c r="N145" s="6" t="s">
        <v>304</v>
      </c>
      <c r="O145" s="6" t="s">
        <v>15</v>
      </c>
      <c r="P145" s="6" t="s">
        <v>51</v>
      </c>
      <c r="Q145" s="6" t="s">
        <v>411</v>
      </c>
      <c r="R145" s="7">
        <v>10</v>
      </c>
      <c r="S145" s="7">
        <v>15000</v>
      </c>
      <c r="T145" s="8">
        <v>149305</v>
      </c>
      <c r="U145" s="12"/>
    </row>
    <row r="146" spans="1:21">
      <c r="A146" s="16" t="s">
        <v>226</v>
      </c>
      <c r="B146" s="17">
        <f t="shared" si="2"/>
        <v>45737</v>
      </c>
      <c r="C146" s="18">
        <f>IF(ISNUMBER(B146),B146,DATE(RIGHT(A146,4),MID(A146,4,2),LEFT(A146,2)))</f>
        <v>45737</v>
      </c>
      <c r="D146" s="12"/>
      <c r="E146" s="16" t="str">
        <f>PROPER(TRIM('RAW Data'!C144))</f>
        <v>Tabllet</v>
      </c>
      <c r="F146" s="6" t="str">
        <f>PROPER(TRIM('RAW Data'!D144))</f>
        <v>North</v>
      </c>
      <c r="G146" s="22" t="str">
        <f>PROPER(TRIM('RAW Data'!E144))</f>
        <v>Riya</v>
      </c>
      <c r="H146" s="12"/>
      <c r="I146" s="24">
        <v>22</v>
      </c>
      <c r="J146" s="7">
        <v>50000</v>
      </c>
      <c r="K146" s="8">
        <v>1100000</v>
      </c>
      <c r="L146" s="12"/>
      <c r="M146" s="26">
        <v>45737</v>
      </c>
      <c r="N146" s="6" t="s">
        <v>305</v>
      </c>
      <c r="O146" s="6" t="s">
        <v>306</v>
      </c>
      <c r="P146" s="6" t="s">
        <v>24</v>
      </c>
      <c r="Q146" s="6" t="s">
        <v>30</v>
      </c>
      <c r="R146" s="7">
        <v>22</v>
      </c>
      <c r="S146" s="7">
        <v>50000</v>
      </c>
      <c r="T146" s="8">
        <v>1100000</v>
      </c>
      <c r="U146" s="12"/>
    </row>
    <row r="147" spans="1:21">
      <c r="A147" s="16" t="s">
        <v>88</v>
      </c>
      <c r="B147" s="17">
        <f t="shared" si="2"/>
        <v>45837</v>
      </c>
      <c r="C147" s="18">
        <f>IF(ISNUMBER(B147),B147,DATE(RIGHT(A147,4),MID(A147,4,2),LEFT(A147,2)))</f>
        <v>45837</v>
      </c>
      <c r="D147" s="12"/>
      <c r="E147" s="16" t="str">
        <f>PROPER(TRIM('RAW Data'!C145))</f>
        <v>Lapotp</v>
      </c>
      <c r="F147" s="6" t="str">
        <f>PROPER(TRIM('RAW Data'!D145))</f>
        <v>North</v>
      </c>
      <c r="G147" s="22" t="str">
        <f>PROPER(TRIM('RAW Data'!E145))</f>
        <v>Priya</v>
      </c>
      <c r="H147" s="12"/>
      <c r="I147" s="24">
        <v>12</v>
      </c>
      <c r="J147" s="7">
        <v>15000</v>
      </c>
      <c r="K147" s="8">
        <v>180000</v>
      </c>
      <c r="L147" s="12"/>
      <c r="M147" s="26">
        <v>45837</v>
      </c>
      <c r="N147" s="6" t="s">
        <v>307</v>
      </c>
      <c r="O147" s="6" t="s">
        <v>143</v>
      </c>
      <c r="P147" s="6" t="s">
        <v>24</v>
      </c>
      <c r="Q147" s="6" t="s">
        <v>61</v>
      </c>
      <c r="R147" s="7">
        <v>12</v>
      </c>
      <c r="S147" s="7">
        <v>15000</v>
      </c>
      <c r="T147" s="8">
        <v>180000</v>
      </c>
      <c r="U147" s="12"/>
    </row>
    <row r="148" spans="1:21">
      <c r="A148" s="16" t="s">
        <v>308</v>
      </c>
      <c r="B148" s="17">
        <f t="shared" si="2"/>
        <v>45694</v>
      </c>
      <c r="C148" s="18">
        <f>IF(ISNUMBER(B148),B148,DATE(RIGHT(A148,4),MID(A148,4,2),LEFT(A148,2)))</f>
        <v>45694</v>
      </c>
      <c r="D148" s="12"/>
      <c r="E148" s="16" t="str">
        <f>PROPER(TRIM('RAW Data'!C146))</f>
        <v>Tablet</v>
      </c>
      <c r="F148" s="6" t="str">
        <f>PROPER(TRIM('RAW Data'!D146))</f>
        <v>North</v>
      </c>
      <c r="G148" s="22" t="str">
        <f>PROPER(TRIM('RAW Data'!E146))</f>
        <v>Tina</v>
      </c>
      <c r="H148" s="12"/>
      <c r="I148" s="24">
        <v>11</v>
      </c>
      <c r="J148" s="7">
        <v>25000</v>
      </c>
      <c r="K148" s="8">
        <v>275159</v>
      </c>
      <c r="L148" s="12"/>
      <c r="M148" s="26">
        <v>45694</v>
      </c>
      <c r="N148" s="6" t="s">
        <v>309</v>
      </c>
      <c r="O148" s="6" t="s">
        <v>19</v>
      </c>
      <c r="P148" s="6" t="s">
        <v>24</v>
      </c>
      <c r="Q148" s="6" t="s">
        <v>38</v>
      </c>
      <c r="R148" s="7">
        <v>11</v>
      </c>
      <c r="S148" s="7">
        <v>25000</v>
      </c>
      <c r="T148" s="8">
        <v>275159</v>
      </c>
      <c r="U148" s="12"/>
    </row>
    <row r="149" spans="1:21">
      <c r="A149" s="16" t="s">
        <v>310</v>
      </c>
      <c r="B149" s="17">
        <f t="shared" si="2"/>
        <v>45766</v>
      </c>
      <c r="C149" s="18">
        <f>IF(ISNUMBER(B149),B149,DATE(RIGHT(A149,4),MID(A149,4,2),LEFT(A149,2)))</f>
        <v>45766</v>
      </c>
      <c r="D149" s="12"/>
      <c r="E149" s="16" t="str">
        <f>PROPER(TRIM('RAW Data'!C147))</f>
        <v>Tabllet</v>
      </c>
      <c r="F149" s="6" t="str">
        <f>PROPER(TRIM('RAW Data'!D147))</f>
        <v>North</v>
      </c>
      <c r="G149" s="22" t="str">
        <f>PROPER(TRIM('RAW Data'!E147))</f>
        <v>Karan</v>
      </c>
      <c r="H149" s="12"/>
      <c r="I149" s="24">
        <v>45</v>
      </c>
      <c r="J149" s="7">
        <v>50000</v>
      </c>
      <c r="K149" s="8">
        <v>2250000</v>
      </c>
      <c r="L149" s="12"/>
      <c r="M149" s="26">
        <v>45766</v>
      </c>
      <c r="N149" s="6" t="s">
        <v>311</v>
      </c>
      <c r="O149" s="6" t="s">
        <v>306</v>
      </c>
      <c r="P149" s="6" t="s">
        <v>24</v>
      </c>
      <c r="Q149" s="6" t="s">
        <v>33</v>
      </c>
      <c r="R149" s="7">
        <v>45</v>
      </c>
      <c r="S149" s="7">
        <v>50000</v>
      </c>
      <c r="T149" s="8">
        <v>2250000</v>
      </c>
      <c r="U149" s="12"/>
    </row>
    <row r="150" spans="1:21">
      <c r="A150" s="16" t="s">
        <v>312</v>
      </c>
      <c r="B150" s="17">
        <f t="shared" si="2"/>
        <v>45746</v>
      </c>
      <c r="C150" s="18">
        <f>IF(ISNUMBER(B150),B150,DATE(RIGHT(A150,4),MID(A150,4,2),LEFT(A150,2)))</f>
        <v>45746</v>
      </c>
      <c r="D150" s="12"/>
      <c r="E150" s="16" t="str">
        <f>PROPER(TRIM('RAW Data'!C148))</f>
        <v>Tablet</v>
      </c>
      <c r="F150" s="6" t="str">
        <f>PROPER(TRIM('RAW Data'!D148))</f>
        <v>East</v>
      </c>
      <c r="G150" s="22" t="str">
        <f>PROPER(TRIM('RAW Data'!E148))</f>
        <v>Amit</v>
      </c>
      <c r="H150" s="12"/>
      <c r="I150" s="24">
        <v>35</v>
      </c>
      <c r="J150" s="7">
        <v>25000</v>
      </c>
      <c r="K150" s="8">
        <v>875000</v>
      </c>
      <c r="L150" s="12"/>
      <c r="M150" s="26">
        <v>45746</v>
      </c>
      <c r="N150" s="6" t="s">
        <v>313</v>
      </c>
      <c r="O150" s="6" t="s">
        <v>19</v>
      </c>
      <c r="P150" s="6" t="s">
        <v>29</v>
      </c>
      <c r="Q150" s="6" t="s">
        <v>16</v>
      </c>
      <c r="R150" s="7">
        <v>35</v>
      </c>
      <c r="S150" s="7">
        <v>25000</v>
      </c>
      <c r="T150" s="8">
        <v>875000</v>
      </c>
      <c r="U150" s="12"/>
    </row>
    <row r="151" spans="1:21">
      <c r="A151" s="16" t="s">
        <v>314</v>
      </c>
      <c r="B151" s="17">
        <f t="shared" si="2"/>
        <v>45731</v>
      </c>
      <c r="C151" s="18">
        <f>IF(ISNUMBER(B151),B151,DATE(RIGHT(A151,4),MID(A151,4,2),LEFT(A151,2)))</f>
        <v>45731</v>
      </c>
      <c r="D151" s="12"/>
      <c r="E151" s="16" t="str">
        <f>PROPER(TRIM('RAW Data'!C149))</f>
        <v>Tablet</v>
      </c>
      <c r="F151" s="6" t="str">
        <f>PROPER(TRIM('RAW Data'!D149))</f>
        <v>South</v>
      </c>
      <c r="G151" s="22" t="str">
        <f>PROPER(TRIM('RAW Data'!E149))</f>
        <v>Sonia</v>
      </c>
      <c r="H151" s="12"/>
      <c r="I151" s="24">
        <v>35</v>
      </c>
      <c r="J151" s="7">
        <v>25000</v>
      </c>
      <c r="K151" s="8">
        <v>875000</v>
      </c>
      <c r="L151" s="12"/>
      <c r="M151" s="26">
        <v>45731</v>
      </c>
      <c r="N151" s="6" t="s">
        <v>315</v>
      </c>
      <c r="O151" s="6" t="s">
        <v>19</v>
      </c>
      <c r="P151" s="6" t="s">
        <v>11</v>
      </c>
      <c r="Q151" s="6" t="s">
        <v>20</v>
      </c>
      <c r="R151" s="7">
        <v>35</v>
      </c>
      <c r="S151" s="7">
        <v>25000</v>
      </c>
      <c r="T151" s="8">
        <v>875000</v>
      </c>
      <c r="U151" s="12"/>
    </row>
    <row r="152" spans="1:21">
      <c r="A152" s="16" t="s">
        <v>316</v>
      </c>
      <c r="B152" s="17" t="e">
        <f t="shared" si="2"/>
        <v>#VALUE!</v>
      </c>
      <c r="C152" s="18">
        <f>IF(ISNUMBER(B152),B152,DATE(RIGHT(A152,4),MID(A152,4,2),LEFT(A152,2)))</f>
        <v>45680</v>
      </c>
      <c r="D152" s="12"/>
      <c r="E152" s="16" t="str">
        <f>PROPER(TRIM('RAW Data'!C150))</f>
        <v>Tablet</v>
      </c>
      <c r="F152" s="6" t="str">
        <f>PROPER(TRIM('RAW Data'!D150))</f>
        <v>North</v>
      </c>
      <c r="G152" s="22" t="str">
        <f>PROPER(TRIM('RAW Data'!E150))</f>
        <v>Rohit</v>
      </c>
      <c r="H152" s="12"/>
      <c r="I152" s="24">
        <v>27</v>
      </c>
      <c r="J152" s="7">
        <v>15000</v>
      </c>
      <c r="K152" s="8">
        <v>405000</v>
      </c>
      <c r="L152" s="12"/>
      <c r="M152" s="26">
        <v>45680</v>
      </c>
      <c r="N152" s="6" t="s">
        <v>317</v>
      </c>
      <c r="O152" s="6" t="s">
        <v>19</v>
      </c>
      <c r="P152" s="6" t="s">
        <v>24</v>
      </c>
      <c r="Q152" s="6" t="s">
        <v>12</v>
      </c>
      <c r="R152" s="7">
        <v>27</v>
      </c>
      <c r="S152" s="7">
        <v>15000</v>
      </c>
      <c r="T152" s="8">
        <v>405000</v>
      </c>
      <c r="U152" s="12"/>
    </row>
    <row r="153" spans="1:21">
      <c r="A153" s="16" t="s">
        <v>177</v>
      </c>
      <c r="B153" s="17">
        <f t="shared" si="2"/>
        <v>45783</v>
      </c>
      <c r="C153" s="18">
        <f>IF(ISNUMBER(B153),B153,DATE(RIGHT(A153,4),MID(A153,4,2),LEFT(A153,2)))</f>
        <v>45783</v>
      </c>
      <c r="D153" s="12"/>
      <c r="E153" s="16" t="str">
        <f>PROPER(TRIM('RAW Data'!C151))</f>
        <v>Accesories</v>
      </c>
      <c r="F153" s="6" t="str">
        <f>PROPER(TRIM('RAW Data'!D151))</f>
        <v>South</v>
      </c>
      <c r="G153" s="22" t="str">
        <f>PROPER(TRIM('RAW Data'!E151))</f>
        <v>Manish</v>
      </c>
      <c r="H153" s="12"/>
      <c r="I153" s="24">
        <v>18</v>
      </c>
      <c r="J153" s="7">
        <v>15000</v>
      </c>
      <c r="K153" s="8">
        <v>270000</v>
      </c>
      <c r="L153" s="12"/>
      <c r="M153" s="26">
        <v>45783</v>
      </c>
      <c r="N153" s="6" t="s">
        <v>318</v>
      </c>
      <c r="O153" s="6" t="s">
        <v>260</v>
      </c>
      <c r="P153" s="6" t="s">
        <v>11</v>
      </c>
      <c r="Q153" s="6" t="s">
        <v>46</v>
      </c>
      <c r="R153" s="7">
        <v>18</v>
      </c>
      <c r="S153" s="7">
        <v>15000</v>
      </c>
      <c r="T153" s="8">
        <v>270000</v>
      </c>
      <c r="U153" s="12"/>
    </row>
    <row r="154" spans="1:21">
      <c r="A154" s="16" t="s">
        <v>319</v>
      </c>
      <c r="B154" s="17">
        <f t="shared" si="2"/>
        <v>45749</v>
      </c>
      <c r="C154" s="18">
        <f>IF(ISNUMBER(B154),B154,DATE(RIGHT(A154,4),MID(A154,4,2),LEFT(A154,2)))</f>
        <v>45749</v>
      </c>
      <c r="D154" s="12"/>
      <c r="E154" s="16" t="str">
        <f>PROPER(TRIM('RAW Data'!C152))</f>
        <v>Laptop</v>
      </c>
      <c r="F154" s="6" t="str">
        <f>PROPER(TRIM('RAW Data'!D152))</f>
        <v>North</v>
      </c>
      <c r="G154" s="22" t="str">
        <f>PROPER(TRIM('RAW Data'!E152))</f>
        <v>Amit</v>
      </c>
      <c r="H154" s="12"/>
      <c r="I154" s="24">
        <v>34</v>
      </c>
      <c r="J154" s="7">
        <v>50000</v>
      </c>
      <c r="K154" s="8">
        <v>1700000</v>
      </c>
      <c r="L154" s="12"/>
      <c r="M154" s="26">
        <v>45749</v>
      </c>
      <c r="N154" s="6" t="s">
        <v>320</v>
      </c>
      <c r="O154" s="6" t="s">
        <v>10</v>
      </c>
      <c r="P154" s="6" t="s">
        <v>24</v>
      </c>
      <c r="Q154" s="6" t="s">
        <v>16</v>
      </c>
      <c r="R154" s="7">
        <v>34</v>
      </c>
      <c r="S154" s="7">
        <v>50000</v>
      </c>
      <c r="T154" s="8">
        <v>1700000</v>
      </c>
      <c r="U154" s="12"/>
    </row>
    <row r="155" spans="1:21">
      <c r="A155" s="16" t="s">
        <v>94</v>
      </c>
      <c r="B155" s="17">
        <f t="shared" si="2"/>
        <v>45789</v>
      </c>
      <c r="C155" s="18">
        <f>IF(ISNUMBER(B155),B155,DATE(RIGHT(A155,4),MID(A155,4,2),LEFT(A155,2)))</f>
        <v>45789</v>
      </c>
      <c r="D155" s="12"/>
      <c r="E155" s="16" t="str">
        <f>PROPER(TRIM('RAW Data'!C153))</f>
        <v>Accessories</v>
      </c>
      <c r="F155" s="6" t="str">
        <f>PROPER(TRIM('RAW Data'!D153))</f>
        <v>East</v>
      </c>
      <c r="G155" s="22" t="str">
        <f>PROPER(TRIM('RAW Data'!E153))</f>
        <v>Neha</v>
      </c>
      <c r="H155" s="12"/>
      <c r="I155" s="24">
        <v>7</v>
      </c>
      <c r="J155" s="7">
        <v>50000</v>
      </c>
      <c r="K155" s="8">
        <v>350000</v>
      </c>
      <c r="L155" s="12"/>
      <c r="M155" s="26">
        <v>45789</v>
      </c>
      <c r="N155" s="6" t="s">
        <v>321</v>
      </c>
      <c r="O155" s="6" t="s">
        <v>15</v>
      </c>
      <c r="P155" s="6" t="s">
        <v>29</v>
      </c>
      <c r="Q155" s="6" t="s">
        <v>25</v>
      </c>
      <c r="R155" s="7">
        <v>7</v>
      </c>
      <c r="S155" s="7">
        <v>50000</v>
      </c>
      <c r="T155" s="8">
        <v>350000</v>
      </c>
      <c r="U155" s="12"/>
    </row>
    <row r="156" spans="1:21">
      <c r="A156" s="16" t="s">
        <v>245</v>
      </c>
      <c r="B156" s="17">
        <f t="shared" si="2"/>
        <v>45761</v>
      </c>
      <c r="C156" s="18">
        <f>IF(ISNUMBER(B156),B156,DATE(RIGHT(A156,4),MID(A156,4,2),LEFT(A156,2)))</f>
        <v>45761</v>
      </c>
      <c r="D156" s="12"/>
      <c r="E156" s="16" t="str">
        <f>PROPER(TRIM('RAW Data'!C154))</f>
        <v>Tablet</v>
      </c>
      <c r="F156" s="6" t="str">
        <f>PROPER(TRIM('RAW Data'!D154))</f>
        <v>East</v>
      </c>
      <c r="G156" s="22" t="str">
        <f>PROPER(TRIM('RAW Data'!E154))</f>
        <v>Priya</v>
      </c>
      <c r="H156" s="12"/>
      <c r="I156" s="24">
        <v>26</v>
      </c>
      <c r="J156" s="7">
        <v>15000</v>
      </c>
      <c r="K156" s="8">
        <v>390000</v>
      </c>
      <c r="L156" s="12"/>
      <c r="M156" s="26">
        <v>45761</v>
      </c>
      <c r="N156" s="6" t="s">
        <v>322</v>
      </c>
      <c r="O156" s="6" t="s">
        <v>19</v>
      </c>
      <c r="P156" s="6" t="s">
        <v>29</v>
      </c>
      <c r="Q156" s="6" t="s">
        <v>61</v>
      </c>
      <c r="R156" s="7">
        <v>26</v>
      </c>
      <c r="S156" s="7">
        <v>15000</v>
      </c>
      <c r="T156" s="8">
        <v>390000</v>
      </c>
      <c r="U156" s="12"/>
    </row>
    <row r="157" spans="1:21">
      <c r="A157" s="16" t="s">
        <v>324</v>
      </c>
      <c r="B157" s="17">
        <f t="shared" si="2"/>
        <v>45700</v>
      </c>
      <c r="C157" s="18">
        <f>IF(ISNUMBER(B157),B157,DATE(RIGHT(A157,4),MID(A157,4,2),LEFT(A157,2)))</f>
        <v>45700</v>
      </c>
      <c r="D157" s="12"/>
      <c r="E157" s="16" t="str">
        <f>PROPER(TRIM('RAW Data'!C155))</f>
        <v>Accessories</v>
      </c>
      <c r="F157" s="6" t="str">
        <f>PROPER(TRIM('RAW Data'!D155))</f>
        <v>West</v>
      </c>
      <c r="G157" s="22" t="str">
        <f>PROPER(TRIM('RAW Data'!E155))</f>
        <v>Manish</v>
      </c>
      <c r="H157" s="12"/>
      <c r="I157" s="24">
        <v>8</v>
      </c>
      <c r="J157" s="7">
        <v>15000</v>
      </c>
      <c r="K157" s="8">
        <v>120000</v>
      </c>
      <c r="L157" s="12"/>
      <c r="M157" s="26">
        <v>45700</v>
      </c>
      <c r="N157" s="6" t="s">
        <v>325</v>
      </c>
      <c r="O157" s="6" t="s">
        <v>15</v>
      </c>
      <c r="P157" s="6" t="s">
        <v>51</v>
      </c>
      <c r="Q157" s="6" t="s">
        <v>46</v>
      </c>
      <c r="R157" s="7">
        <v>8</v>
      </c>
      <c r="S157" s="7">
        <v>15000</v>
      </c>
      <c r="T157" s="8">
        <v>120000</v>
      </c>
      <c r="U157" s="12"/>
    </row>
    <row r="158" spans="1:21">
      <c r="A158" s="16" t="s">
        <v>326</v>
      </c>
      <c r="B158" s="17">
        <f t="shared" si="2"/>
        <v>45662</v>
      </c>
      <c r="C158" s="18">
        <f>IF(ISNUMBER(B158),B158,DATE(RIGHT(A158,4),MID(A158,4,2),LEFT(A158,2)))</f>
        <v>45662</v>
      </c>
      <c r="D158" s="12"/>
      <c r="E158" s="16" t="str">
        <f>PROPER(TRIM('RAW Data'!C156))</f>
        <v>Mobile</v>
      </c>
      <c r="F158" s="6" t="str">
        <f>PROPER(TRIM('RAW Data'!D156))</f>
        <v>East</v>
      </c>
      <c r="G158" s="22" t="str">
        <f>PROPER(TRIM('RAW Data'!E156))</f>
        <v>Rohit</v>
      </c>
      <c r="H158" s="12"/>
      <c r="I158" s="24">
        <v>3</v>
      </c>
      <c r="J158" s="7">
        <v>25000</v>
      </c>
      <c r="K158" s="8">
        <v>75000</v>
      </c>
      <c r="L158" s="12"/>
      <c r="M158" s="26">
        <v>45662</v>
      </c>
      <c r="N158" s="6" t="s">
        <v>327</v>
      </c>
      <c r="O158" s="6" t="s">
        <v>23</v>
      </c>
      <c r="P158" s="6" t="s">
        <v>29</v>
      </c>
      <c r="Q158" s="6" t="s">
        <v>12</v>
      </c>
      <c r="R158" s="7">
        <v>3</v>
      </c>
      <c r="S158" s="7">
        <v>25000</v>
      </c>
      <c r="T158" s="8">
        <v>75000</v>
      </c>
      <c r="U158" s="12"/>
    </row>
    <row r="159" spans="1:21">
      <c r="A159" s="16" t="s">
        <v>328</v>
      </c>
      <c r="B159" s="17" t="e">
        <f t="shared" si="2"/>
        <v>#VALUE!</v>
      </c>
      <c r="C159" s="18">
        <f>IF(ISNUMBER(B159),B159,DATE(RIGHT(A159,4),MID(A159,4,2),LEFT(A159,2)))</f>
        <v>45803</v>
      </c>
      <c r="D159" s="12"/>
      <c r="E159" s="16" t="str">
        <f>PROPER(TRIM('RAW Data'!C157))</f>
        <v>Moblie</v>
      </c>
      <c r="F159" s="6" t="str">
        <f>PROPER(TRIM('RAW Data'!D157))</f>
        <v>West</v>
      </c>
      <c r="G159" s="22" t="str">
        <f>PROPER(TRIM('RAW Data'!E157))</f>
        <v/>
      </c>
      <c r="H159" s="12"/>
      <c r="I159" s="24">
        <v>25</v>
      </c>
      <c r="J159" s="7">
        <v>15000</v>
      </c>
      <c r="K159" s="8">
        <v>375000</v>
      </c>
      <c r="L159" s="12"/>
      <c r="M159" s="26">
        <v>45803</v>
      </c>
      <c r="N159" s="6" t="s">
        <v>329</v>
      </c>
      <c r="O159" s="6" t="s">
        <v>116</v>
      </c>
      <c r="P159" s="6" t="s">
        <v>51</v>
      </c>
      <c r="Q159" s="6" t="s">
        <v>411</v>
      </c>
      <c r="R159" s="7">
        <v>25</v>
      </c>
      <c r="S159" s="7">
        <v>15000</v>
      </c>
      <c r="T159" s="8">
        <v>375000</v>
      </c>
      <c r="U159" s="12"/>
    </row>
    <row r="160" spans="1:21">
      <c r="A160" s="16" t="s">
        <v>235</v>
      </c>
      <c r="B160" s="17">
        <f t="shared" si="2"/>
        <v>45829</v>
      </c>
      <c r="C160" s="18">
        <f>IF(ISNUMBER(B160),B160,DATE(RIGHT(A160,4),MID(A160,4,2),LEFT(A160,2)))</f>
        <v>45829</v>
      </c>
      <c r="D160" s="12"/>
      <c r="E160" s="16" t="str">
        <f>PROPER(TRIM('RAW Data'!C158))</f>
        <v>Accessories</v>
      </c>
      <c r="F160" s="6" t="str">
        <f>PROPER(TRIM('RAW Data'!D158))</f>
        <v>East</v>
      </c>
      <c r="G160" s="22" t="str">
        <f>PROPER(TRIM('RAW Data'!E158))</f>
        <v>Manish</v>
      </c>
      <c r="H160" s="12"/>
      <c r="I160" s="24">
        <v>6</v>
      </c>
      <c r="J160" s="7">
        <v>50000</v>
      </c>
      <c r="K160" s="8">
        <v>300000</v>
      </c>
      <c r="L160" s="12"/>
      <c r="M160" s="26">
        <v>45829</v>
      </c>
      <c r="N160" s="6" t="s">
        <v>330</v>
      </c>
      <c r="O160" s="6" t="s">
        <v>15</v>
      </c>
      <c r="P160" s="6" t="s">
        <v>29</v>
      </c>
      <c r="Q160" s="6" t="s">
        <v>46</v>
      </c>
      <c r="R160" s="7">
        <v>6</v>
      </c>
      <c r="S160" s="7">
        <v>50000</v>
      </c>
      <c r="T160" s="8">
        <v>300000</v>
      </c>
      <c r="U160" s="12"/>
    </row>
    <row r="161" spans="1:21">
      <c r="A161" s="16" t="s">
        <v>331</v>
      </c>
      <c r="B161" s="17">
        <f t="shared" si="2"/>
        <v>45810</v>
      </c>
      <c r="C161" s="18">
        <f>IF(ISNUMBER(B161),B161,DATE(RIGHT(A161,4),MID(A161,4,2),LEFT(A161,2)))</f>
        <v>45810</v>
      </c>
      <c r="D161" s="12"/>
      <c r="E161" s="16" t="str">
        <f>PROPER(TRIM('RAW Data'!C159))</f>
        <v>Mobile</v>
      </c>
      <c r="F161" s="6" t="str">
        <f>PROPER(TRIM('RAW Data'!D159))</f>
        <v>South</v>
      </c>
      <c r="G161" s="22" t="str">
        <f>PROPER(TRIM('RAW Data'!E159))</f>
        <v>Amit</v>
      </c>
      <c r="H161" s="12"/>
      <c r="I161" s="24">
        <v>32</v>
      </c>
      <c r="J161" s="7">
        <v>30000</v>
      </c>
      <c r="K161" s="8">
        <v>960000</v>
      </c>
      <c r="L161" s="12"/>
      <c r="M161" s="26">
        <v>45810</v>
      </c>
      <c r="N161" s="6" t="s">
        <v>332</v>
      </c>
      <c r="O161" s="6" t="s">
        <v>23</v>
      </c>
      <c r="P161" s="6" t="s">
        <v>11</v>
      </c>
      <c r="Q161" s="6" t="s">
        <v>16</v>
      </c>
      <c r="R161" s="7">
        <v>32</v>
      </c>
      <c r="S161" s="7">
        <v>30000</v>
      </c>
      <c r="T161" s="8">
        <v>960000</v>
      </c>
      <c r="U161" s="12"/>
    </row>
    <row r="162" spans="1:21">
      <c r="A162" s="16" t="s">
        <v>333</v>
      </c>
      <c r="B162" s="17">
        <f t="shared" si="2"/>
        <v>45682</v>
      </c>
      <c r="C162" s="18">
        <f>IF(ISNUMBER(B162),B162,DATE(RIGHT(A162,4),MID(A162,4,2),LEFT(A162,2)))</f>
        <v>45682</v>
      </c>
      <c r="D162" s="12"/>
      <c r="E162" s="16" t="str">
        <f>PROPER(TRIM('RAW Data'!C160))</f>
        <v>Accessories</v>
      </c>
      <c r="F162" s="6" t="str">
        <f>PROPER(TRIM('RAW Data'!D160))</f>
        <v>North</v>
      </c>
      <c r="G162" s="22" t="str">
        <f>PROPER(TRIM('RAW Data'!E160))</f>
        <v>Tina</v>
      </c>
      <c r="H162" s="12"/>
      <c r="I162" s="24">
        <v>31</v>
      </c>
      <c r="J162" s="7">
        <v>800</v>
      </c>
      <c r="K162" s="8">
        <v>24800</v>
      </c>
      <c r="L162" s="12"/>
      <c r="M162" s="26">
        <v>45682</v>
      </c>
      <c r="N162" s="6" t="s">
        <v>334</v>
      </c>
      <c r="O162" s="6" t="s">
        <v>15</v>
      </c>
      <c r="P162" s="6" t="s">
        <v>24</v>
      </c>
      <c r="Q162" s="6" t="s">
        <v>38</v>
      </c>
      <c r="R162" s="7">
        <v>31</v>
      </c>
      <c r="S162" s="7">
        <v>800</v>
      </c>
      <c r="T162" s="8">
        <v>24800</v>
      </c>
      <c r="U162" s="12"/>
    </row>
    <row r="163" spans="1:21">
      <c r="A163" s="16" t="s">
        <v>335</v>
      </c>
      <c r="B163" s="17">
        <f t="shared" si="2"/>
        <v>45717</v>
      </c>
      <c r="C163" s="18">
        <f>IF(ISNUMBER(B163),B163,DATE(RIGHT(A163,4),MID(A163,4,2),LEFT(A163,2)))</f>
        <v>45717</v>
      </c>
      <c r="D163" s="12"/>
      <c r="E163" s="16" t="str">
        <f>PROPER(TRIM('RAW Data'!C161))</f>
        <v>Accesories</v>
      </c>
      <c r="F163" s="6" t="str">
        <f>PROPER(TRIM('RAW Data'!D161))</f>
        <v>South</v>
      </c>
      <c r="G163" s="22" t="str">
        <f>PROPER(TRIM('RAW Data'!E161))</f>
        <v>Riya</v>
      </c>
      <c r="H163" s="12"/>
      <c r="I163" s="24">
        <v>48</v>
      </c>
      <c r="J163" s="7">
        <v>1200</v>
      </c>
      <c r="K163" s="8">
        <v>57600</v>
      </c>
      <c r="L163" s="12"/>
      <c r="M163" s="26">
        <v>45717</v>
      </c>
      <c r="N163" s="6" t="s">
        <v>336</v>
      </c>
      <c r="O163" s="6" t="s">
        <v>260</v>
      </c>
      <c r="P163" s="6" t="s">
        <v>11</v>
      </c>
      <c r="Q163" s="6" t="s">
        <v>30</v>
      </c>
      <c r="R163" s="7">
        <v>48</v>
      </c>
      <c r="S163" s="7">
        <v>1200</v>
      </c>
      <c r="T163" s="8">
        <v>57600</v>
      </c>
      <c r="U163" s="12"/>
    </row>
    <row r="164" spans="1:21">
      <c r="A164" s="16" t="s">
        <v>337</v>
      </c>
      <c r="B164" s="17" t="e">
        <f t="shared" si="2"/>
        <v>#VALUE!</v>
      </c>
      <c r="C164" s="18">
        <f>IF(ISNUMBER(B164),B164,DATE(RIGHT(A164,4),MID(A164,4,2),LEFT(A164,2)))</f>
        <v>45714</v>
      </c>
      <c r="D164" s="12"/>
      <c r="E164" s="16" t="str">
        <f>PROPER(TRIM('RAW Data'!C162))</f>
        <v>Accessories</v>
      </c>
      <c r="F164" s="6" t="str">
        <f>PROPER(TRIM('RAW Data'!D162))</f>
        <v>East</v>
      </c>
      <c r="G164" s="22" t="str">
        <f>PROPER(TRIM('RAW Data'!E162))</f>
        <v>Priya</v>
      </c>
      <c r="H164" s="12"/>
      <c r="I164" s="24">
        <v>44</v>
      </c>
      <c r="J164" s="7">
        <v>50000</v>
      </c>
      <c r="K164" s="8">
        <v>2200000</v>
      </c>
      <c r="L164" s="12"/>
      <c r="M164" s="26">
        <v>45714</v>
      </c>
      <c r="N164" s="6" t="s">
        <v>338</v>
      </c>
      <c r="O164" s="6" t="s">
        <v>15</v>
      </c>
      <c r="P164" s="6" t="s">
        <v>29</v>
      </c>
      <c r="Q164" s="6" t="s">
        <v>61</v>
      </c>
      <c r="R164" s="7">
        <v>44</v>
      </c>
      <c r="S164" s="7">
        <v>50000</v>
      </c>
      <c r="T164" s="8">
        <v>2200000</v>
      </c>
      <c r="U164" s="12"/>
    </row>
    <row r="165" spans="1:21">
      <c r="A165" s="16" t="s">
        <v>339</v>
      </c>
      <c r="B165" s="17">
        <f t="shared" si="2"/>
        <v>45780</v>
      </c>
      <c r="C165" s="18">
        <f>IF(ISNUMBER(B165),B165,DATE(RIGHT(A165,4),MID(A165,4,2),LEFT(A165,2)))</f>
        <v>45780</v>
      </c>
      <c r="D165" s="12"/>
      <c r="E165" s="16" t="str">
        <f>PROPER(TRIM('RAW Data'!C163))</f>
        <v>Accessories</v>
      </c>
      <c r="F165" s="6" t="str">
        <f>PROPER(TRIM('RAW Data'!D163))</f>
        <v>West</v>
      </c>
      <c r="G165" s="22" t="str">
        <f>PROPER(TRIM('RAW Data'!E163))</f>
        <v>Manish</v>
      </c>
      <c r="H165" s="12"/>
      <c r="I165" s="24">
        <v>19</v>
      </c>
      <c r="J165" s="7">
        <v>25000</v>
      </c>
      <c r="K165" s="8">
        <v>475000</v>
      </c>
      <c r="L165" s="12"/>
      <c r="M165" s="26">
        <v>45780</v>
      </c>
      <c r="N165" s="6" t="s">
        <v>340</v>
      </c>
      <c r="O165" s="6" t="s">
        <v>15</v>
      </c>
      <c r="P165" s="6" t="s">
        <v>51</v>
      </c>
      <c r="Q165" s="6" t="s">
        <v>46</v>
      </c>
      <c r="R165" s="7">
        <v>19</v>
      </c>
      <c r="S165" s="7">
        <v>25000</v>
      </c>
      <c r="T165" s="8">
        <v>475000</v>
      </c>
      <c r="U165" s="12"/>
    </row>
    <row r="166" spans="1:21">
      <c r="A166" s="16" t="s">
        <v>341</v>
      </c>
      <c r="B166" s="17">
        <f t="shared" si="2"/>
        <v>45821</v>
      </c>
      <c r="C166" s="18">
        <f>IF(ISNUMBER(B166),B166,DATE(RIGHT(A166,4),MID(A166,4,2),LEFT(A166,2)))</f>
        <v>45821</v>
      </c>
      <c r="D166" s="12"/>
      <c r="E166" s="16" t="str">
        <f>PROPER(TRIM('RAW Data'!C164))</f>
        <v>Laptop</v>
      </c>
      <c r="F166" s="6" t="str">
        <f>PROPER(TRIM('RAW Data'!D164))</f>
        <v>South</v>
      </c>
      <c r="G166" s="22" t="str">
        <f>PROPER(TRIM('RAW Data'!E164))</f>
        <v>Priya</v>
      </c>
      <c r="H166" s="12"/>
      <c r="I166" s="24">
        <v>32</v>
      </c>
      <c r="J166" s="7">
        <v>25000</v>
      </c>
      <c r="K166" s="8">
        <v>800000</v>
      </c>
      <c r="L166" s="12"/>
      <c r="M166" s="26">
        <v>45821</v>
      </c>
      <c r="N166" s="6" t="s">
        <v>342</v>
      </c>
      <c r="O166" s="6" t="s">
        <v>10</v>
      </c>
      <c r="P166" s="6" t="s">
        <v>11</v>
      </c>
      <c r="Q166" s="6" t="s">
        <v>61</v>
      </c>
      <c r="R166" s="7">
        <v>32</v>
      </c>
      <c r="S166" s="7">
        <v>25000</v>
      </c>
      <c r="T166" s="8">
        <v>800000</v>
      </c>
      <c r="U166" s="12"/>
    </row>
    <row r="167" spans="1:21">
      <c r="A167" s="16" t="s">
        <v>249</v>
      </c>
      <c r="B167" s="17">
        <f t="shared" si="2"/>
        <v>45773</v>
      </c>
      <c r="C167" s="18">
        <f>IF(ISNUMBER(B167),B167,DATE(RIGHT(A167,4),MID(A167,4,2),LEFT(A167,2)))</f>
        <v>45773</v>
      </c>
      <c r="D167" s="12"/>
      <c r="E167" s="16" t="str">
        <f>PROPER(TRIM('RAW Data'!C165))</f>
        <v>Mobile</v>
      </c>
      <c r="F167" s="6" t="str">
        <f>PROPER(TRIM('RAW Data'!D165))</f>
        <v>West</v>
      </c>
      <c r="G167" s="22" t="str">
        <f>PROPER(TRIM('RAW Data'!E165))</f>
        <v>Riya</v>
      </c>
      <c r="H167" s="12"/>
      <c r="I167" s="24">
        <v>20</v>
      </c>
      <c r="J167" s="7">
        <v>25000</v>
      </c>
      <c r="K167" s="8">
        <v>500000</v>
      </c>
      <c r="L167" s="12"/>
      <c r="M167" s="26">
        <v>45773</v>
      </c>
      <c r="N167" s="6" t="s">
        <v>343</v>
      </c>
      <c r="O167" s="6" t="s">
        <v>23</v>
      </c>
      <c r="P167" s="6" t="s">
        <v>51</v>
      </c>
      <c r="Q167" s="6" t="s">
        <v>30</v>
      </c>
      <c r="R167" s="7">
        <v>20</v>
      </c>
      <c r="S167" s="7">
        <v>25000</v>
      </c>
      <c r="T167" s="8">
        <v>500000</v>
      </c>
      <c r="U167" s="12"/>
    </row>
    <row r="168" spans="1:21">
      <c r="A168" s="16" t="s">
        <v>247</v>
      </c>
      <c r="B168" s="17">
        <f t="shared" si="2"/>
        <v>45691</v>
      </c>
      <c r="C168" s="18">
        <f>IF(ISNUMBER(B168),B168,DATE(RIGHT(A168,4),MID(A168,4,2),LEFT(A168,2)))</f>
        <v>45691</v>
      </c>
      <c r="D168" s="12"/>
      <c r="E168" s="16" t="str">
        <f>PROPER(TRIM('RAW Data'!C166))</f>
        <v>Tablet</v>
      </c>
      <c r="F168" s="6" t="str">
        <f>PROPER(TRIM('RAW Data'!D166))</f>
        <v>West</v>
      </c>
      <c r="G168" s="22" t="str">
        <f>PROPER(TRIM('RAW Data'!E166))</f>
        <v>Rohit</v>
      </c>
      <c r="H168" s="12"/>
      <c r="I168" s="24">
        <v>4</v>
      </c>
      <c r="J168" s="7">
        <v>15000</v>
      </c>
      <c r="K168" s="8">
        <v>60000</v>
      </c>
      <c r="L168" s="12"/>
      <c r="M168" s="26">
        <v>45691</v>
      </c>
      <c r="N168" s="6" t="s">
        <v>344</v>
      </c>
      <c r="O168" s="6" t="s">
        <v>19</v>
      </c>
      <c r="P168" s="6" t="s">
        <v>51</v>
      </c>
      <c r="Q168" s="6" t="s">
        <v>12</v>
      </c>
      <c r="R168" s="7">
        <v>4</v>
      </c>
      <c r="S168" s="7">
        <v>15000</v>
      </c>
      <c r="T168" s="8">
        <v>60000</v>
      </c>
      <c r="U168" s="12"/>
    </row>
    <row r="169" spans="1:21">
      <c r="A169" s="16" t="s">
        <v>345</v>
      </c>
      <c r="B169" s="17">
        <f t="shared" si="2"/>
        <v>45935</v>
      </c>
      <c r="C169" s="18">
        <f>IF(ISNUMBER(B169),B169,DATE(RIGHT(A169,4),MID(A169,4,2),LEFT(A169,2)))</f>
        <v>45935</v>
      </c>
      <c r="D169" s="12"/>
      <c r="E169" s="16" t="str">
        <f>PROPER(TRIM('RAW Data'!C167))</f>
        <v>Accessories</v>
      </c>
      <c r="F169" s="6" t="str">
        <f>PROPER(TRIM('RAW Data'!D167))</f>
        <v>South</v>
      </c>
      <c r="G169" s="22" t="str">
        <f>PROPER(TRIM('RAW Data'!E167))</f>
        <v>Sonia</v>
      </c>
      <c r="H169" s="12"/>
      <c r="I169" s="24">
        <v>20</v>
      </c>
      <c r="J169" s="7">
        <v>30000</v>
      </c>
      <c r="K169" s="8">
        <v>600000</v>
      </c>
      <c r="L169" s="12"/>
      <c r="M169" s="26">
        <v>45935</v>
      </c>
      <c r="N169" s="6" t="s">
        <v>346</v>
      </c>
      <c r="O169" s="6" t="s">
        <v>15</v>
      </c>
      <c r="P169" s="6" t="s">
        <v>11</v>
      </c>
      <c r="Q169" s="6" t="s">
        <v>20</v>
      </c>
      <c r="R169" s="7">
        <v>20</v>
      </c>
      <c r="S169" s="7">
        <v>30000</v>
      </c>
      <c r="T169" s="8">
        <v>600000</v>
      </c>
      <c r="U169" s="12"/>
    </row>
    <row r="170" spans="1:21">
      <c r="A170" s="16" t="s">
        <v>347</v>
      </c>
      <c r="B170" s="17" t="e">
        <f t="shared" si="2"/>
        <v>#VALUE!</v>
      </c>
      <c r="C170" s="18">
        <f>IF(ISNUMBER(B170),B170,DATE(RIGHT(A170,4),MID(A170,4,2),LEFT(A170,2)))</f>
        <v>45747</v>
      </c>
      <c r="D170" s="12"/>
      <c r="E170" s="16" t="str">
        <f>PROPER(TRIM('RAW Data'!C168))</f>
        <v>Lapotp</v>
      </c>
      <c r="F170" s="6" t="str">
        <f>PROPER(TRIM('RAW Data'!D168))</f>
        <v>West</v>
      </c>
      <c r="G170" s="22" t="str">
        <f>PROPER(TRIM('RAW Data'!E168))</f>
        <v>Vivek</v>
      </c>
      <c r="H170" s="12"/>
      <c r="I170" s="24">
        <v>20</v>
      </c>
      <c r="J170" s="7">
        <v>1200</v>
      </c>
      <c r="K170" s="8">
        <v>24000</v>
      </c>
      <c r="L170" s="12"/>
      <c r="M170" s="26">
        <v>45747</v>
      </c>
      <c r="N170" s="6" t="s">
        <v>348</v>
      </c>
      <c r="O170" s="6" t="s">
        <v>143</v>
      </c>
      <c r="P170" s="6" t="s">
        <v>51</v>
      </c>
      <c r="Q170" s="6" t="s">
        <v>72</v>
      </c>
      <c r="R170" s="7">
        <v>20</v>
      </c>
      <c r="S170" s="7">
        <v>1200</v>
      </c>
      <c r="T170" s="8">
        <v>24000</v>
      </c>
      <c r="U170" s="12"/>
    </row>
    <row r="171" spans="1:21">
      <c r="A171" s="16" t="s">
        <v>349</v>
      </c>
      <c r="B171" s="17">
        <f t="shared" si="2"/>
        <v>45678</v>
      </c>
      <c r="C171" s="18">
        <f>IF(ISNUMBER(B171),B171,DATE(RIGHT(A171,4),MID(A171,4,2),LEFT(A171,2)))</f>
        <v>45678</v>
      </c>
      <c r="D171" s="12"/>
      <c r="E171" s="16" t="str">
        <f>PROPER(TRIM('RAW Data'!C169))</f>
        <v>Laptop</v>
      </c>
      <c r="F171" s="6" t="str">
        <f>PROPER(TRIM('RAW Data'!D169))</f>
        <v>East</v>
      </c>
      <c r="G171" s="22" t="str">
        <f>PROPER(TRIM('RAW Data'!E169))</f>
        <v>Riya</v>
      </c>
      <c r="H171" s="12"/>
      <c r="I171" s="24">
        <v>12</v>
      </c>
      <c r="J171" s="7">
        <v>15000</v>
      </c>
      <c r="K171" s="8">
        <v>180000</v>
      </c>
      <c r="L171" s="12"/>
      <c r="M171" s="26">
        <v>45678</v>
      </c>
      <c r="N171" s="6" t="s">
        <v>350</v>
      </c>
      <c r="O171" s="6" t="s">
        <v>10</v>
      </c>
      <c r="P171" s="6" t="s">
        <v>29</v>
      </c>
      <c r="Q171" s="6" t="s">
        <v>30</v>
      </c>
      <c r="R171" s="7">
        <v>12</v>
      </c>
      <c r="S171" s="7">
        <v>15000</v>
      </c>
      <c r="T171" s="8">
        <v>180000</v>
      </c>
      <c r="U171" s="12"/>
    </row>
    <row r="172" spans="1:21">
      <c r="A172" s="16" t="s">
        <v>351</v>
      </c>
      <c r="B172" s="17">
        <f t="shared" si="2"/>
        <v>45715</v>
      </c>
      <c r="C172" s="18">
        <f>IF(ISNUMBER(B172),B172,DATE(RIGHT(A172,4),MID(A172,4,2),LEFT(A172,2)))</f>
        <v>45715</v>
      </c>
      <c r="D172" s="12"/>
      <c r="E172" s="16" t="str">
        <f>PROPER(TRIM('RAW Data'!C170))</f>
        <v>Laptop</v>
      </c>
      <c r="F172" s="6" t="str">
        <f>PROPER(TRIM('RAW Data'!D170))</f>
        <v>East</v>
      </c>
      <c r="G172" s="22" t="str">
        <f>PROPER(TRIM('RAW Data'!E170))</f>
        <v>Sonia</v>
      </c>
      <c r="H172" s="12"/>
      <c r="I172" s="24">
        <v>27</v>
      </c>
      <c r="J172" s="7">
        <v>30000</v>
      </c>
      <c r="K172" s="8">
        <v>810000</v>
      </c>
      <c r="L172" s="12"/>
      <c r="M172" s="26">
        <v>45715</v>
      </c>
      <c r="N172" s="6" t="s">
        <v>352</v>
      </c>
      <c r="O172" s="6" t="s">
        <v>10</v>
      </c>
      <c r="P172" s="6" t="s">
        <v>29</v>
      </c>
      <c r="Q172" s="6" t="s">
        <v>20</v>
      </c>
      <c r="R172" s="7">
        <v>27</v>
      </c>
      <c r="S172" s="7">
        <v>30000</v>
      </c>
      <c r="T172" s="8">
        <v>810000</v>
      </c>
      <c r="U172" s="12"/>
    </row>
    <row r="173" spans="1:21">
      <c r="A173" s="16" t="s">
        <v>353</v>
      </c>
      <c r="B173" s="17">
        <f t="shared" si="2"/>
        <v>45693</v>
      </c>
      <c r="C173" s="18">
        <f>IF(ISNUMBER(B173),B173,DATE(RIGHT(A173,4),MID(A173,4,2),LEFT(A173,2)))</f>
        <v>45693</v>
      </c>
      <c r="D173" s="12"/>
      <c r="E173" s="16" t="str">
        <f>PROPER(TRIM('RAW Data'!C171))</f>
        <v>Mobile</v>
      </c>
      <c r="F173" s="6" t="str">
        <f>PROPER(TRIM('RAW Data'!D171))</f>
        <v>West</v>
      </c>
      <c r="G173" s="22" t="str">
        <f>PROPER(TRIM('RAW Data'!E171))</f>
        <v>Sonia</v>
      </c>
      <c r="H173" s="12"/>
      <c r="I173" s="24">
        <v>43</v>
      </c>
      <c r="J173" s="7">
        <v>50000</v>
      </c>
      <c r="K173" s="8">
        <v>2150000</v>
      </c>
      <c r="L173" s="12"/>
      <c r="M173" s="26">
        <v>45693</v>
      </c>
      <c r="N173" s="6" t="s">
        <v>354</v>
      </c>
      <c r="O173" s="6" t="s">
        <v>23</v>
      </c>
      <c r="P173" s="6" t="s">
        <v>51</v>
      </c>
      <c r="Q173" s="6" t="s">
        <v>20</v>
      </c>
      <c r="R173" s="7">
        <v>43</v>
      </c>
      <c r="S173" s="7">
        <v>50000</v>
      </c>
      <c r="T173" s="8">
        <v>2150000</v>
      </c>
      <c r="U173" s="12"/>
    </row>
    <row r="174" spans="1:21">
      <c r="A174" s="16" t="s">
        <v>205</v>
      </c>
      <c r="B174" s="17" t="e">
        <f t="shared" si="2"/>
        <v>#VALUE!</v>
      </c>
      <c r="C174" s="18">
        <f>IF(ISNUMBER(B174),B174,DATE(RIGHT(A174,4),MID(A174,4,2),LEFT(A174,2)))</f>
        <v>45835</v>
      </c>
      <c r="D174" s="12"/>
      <c r="E174" s="16" t="str">
        <f>PROPER(TRIM('RAW Data'!C172))</f>
        <v>Tablet</v>
      </c>
      <c r="F174" s="6" t="str">
        <f>PROPER(TRIM('RAW Data'!D172))</f>
        <v>South</v>
      </c>
      <c r="G174" s="22" t="str">
        <f>PROPER(TRIM('RAW Data'!E172))</f>
        <v>Vivek</v>
      </c>
      <c r="H174" s="12"/>
      <c r="I174" s="24">
        <v>5</v>
      </c>
      <c r="J174" s="7">
        <v>30000</v>
      </c>
      <c r="K174" s="8">
        <v>150000</v>
      </c>
      <c r="L174" s="12"/>
      <c r="M174" s="26">
        <v>45835</v>
      </c>
      <c r="N174" s="6" t="s">
        <v>355</v>
      </c>
      <c r="O174" s="6" t="s">
        <v>19</v>
      </c>
      <c r="P174" s="6" t="s">
        <v>11</v>
      </c>
      <c r="Q174" s="6" t="s">
        <v>72</v>
      </c>
      <c r="R174" s="7">
        <v>5</v>
      </c>
      <c r="S174" s="7">
        <v>30000</v>
      </c>
      <c r="T174" s="8">
        <v>150000</v>
      </c>
      <c r="U174" s="12"/>
    </row>
    <row r="175" spans="1:21">
      <c r="A175" s="16" t="s">
        <v>356</v>
      </c>
      <c r="B175" s="17" t="e">
        <f t="shared" si="2"/>
        <v>#VALUE!</v>
      </c>
      <c r="C175" s="18">
        <f>IF(ISNUMBER(B175),B175,DATE(RIGHT(A175,4),MID(A175,4,2),LEFT(A175,2)))</f>
        <v>45838</v>
      </c>
      <c r="D175" s="12"/>
      <c r="E175" s="16" t="str">
        <f>PROPER(TRIM('RAW Data'!C173))</f>
        <v>Laptop</v>
      </c>
      <c r="F175" s="6" t="str">
        <f>PROPER(TRIM('RAW Data'!D173))</f>
        <v>West</v>
      </c>
      <c r="G175" s="22" t="str">
        <f>PROPER(TRIM('RAW Data'!E173))</f>
        <v>Karan</v>
      </c>
      <c r="H175" s="12"/>
      <c r="I175" s="24">
        <v>18</v>
      </c>
      <c r="J175" s="7">
        <v>50000</v>
      </c>
      <c r="K175" s="8">
        <v>900000</v>
      </c>
      <c r="L175" s="12"/>
      <c r="M175" s="26">
        <v>45838</v>
      </c>
      <c r="N175" s="6" t="s">
        <v>357</v>
      </c>
      <c r="O175" s="6" t="s">
        <v>10</v>
      </c>
      <c r="P175" s="6" t="s">
        <v>51</v>
      </c>
      <c r="Q175" s="6" t="s">
        <v>33</v>
      </c>
      <c r="R175" s="7">
        <v>18</v>
      </c>
      <c r="S175" s="7">
        <v>50000</v>
      </c>
      <c r="T175" s="8">
        <v>900000</v>
      </c>
      <c r="U175" s="12"/>
    </row>
    <row r="176" spans="1:21">
      <c r="A176" s="16" t="s">
        <v>339</v>
      </c>
      <c r="B176" s="17">
        <f t="shared" si="2"/>
        <v>45780</v>
      </c>
      <c r="C176" s="18">
        <f>IF(ISNUMBER(B176),B176,DATE(RIGHT(A176,4),MID(A176,4,2),LEFT(A176,2)))</f>
        <v>45780</v>
      </c>
      <c r="D176" s="12"/>
      <c r="E176" s="16" t="str">
        <f>PROPER(TRIM('RAW Data'!C174))</f>
        <v>Accessories</v>
      </c>
      <c r="F176" s="6" t="str">
        <f>PROPER(TRIM('RAW Data'!D174))</f>
        <v>East</v>
      </c>
      <c r="G176" s="22" t="str">
        <f>PROPER(TRIM('RAW Data'!E174))</f>
        <v>Tina</v>
      </c>
      <c r="H176" s="12"/>
      <c r="I176" s="24">
        <v>13</v>
      </c>
      <c r="J176" s="7">
        <v>30000</v>
      </c>
      <c r="K176" s="8">
        <v>390000</v>
      </c>
      <c r="L176" s="12"/>
      <c r="M176" s="26">
        <v>45780</v>
      </c>
      <c r="N176" s="6" t="s">
        <v>358</v>
      </c>
      <c r="O176" s="6" t="s">
        <v>15</v>
      </c>
      <c r="P176" s="6" t="s">
        <v>29</v>
      </c>
      <c r="Q176" s="6" t="s">
        <v>38</v>
      </c>
      <c r="R176" s="7">
        <v>13</v>
      </c>
      <c r="S176" s="7">
        <v>30000</v>
      </c>
      <c r="T176" s="8">
        <v>390000</v>
      </c>
      <c r="U176" s="12"/>
    </row>
    <row r="177" spans="1:21">
      <c r="A177" s="16" t="s">
        <v>359</v>
      </c>
      <c r="B177" s="17">
        <f t="shared" si="2"/>
        <v>45825</v>
      </c>
      <c r="C177" s="18">
        <f>IF(ISNUMBER(B177),B177,DATE(RIGHT(A177,4),MID(A177,4,2),LEFT(A177,2)))</f>
        <v>45825</v>
      </c>
      <c r="D177" s="12"/>
      <c r="E177" s="16" t="str">
        <f>PROPER(TRIM('RAW Data'!C175))</f>
        <v>Laptop</v>
      </c>
      <c r="F177" s="6" t="str">
        <f>PROPER(TRIM('RAW Data'!D175))</f>
        <v>North</v>
      </c>
      <c r="G177" s="22" t="str">
        <f>PROPER(TRIM('RAW Data'!E175))</f>
        <v>Vivek</v>
      </c>
      <c r="H177" s="12"/>
      <c r="I177" s="24">
        <v>14</v>
      </c>
      <c r="J177" s="7">
        <v>30000</v>
      </c>
      <c r="K177" s="8">
        <v>420000</v>
      </c>
      <c r="L177" s="12"/>
      <c r="M177" s="26">
        <v>45825</v>
      </c>
      <c r="N177" s="6" t="s">
        <v>360</v>
      </c>
      <c r="O177" s="6" t="s">
        <v>10</v>
      </c>
      <c r="P177" s="6" t="s">
        <v>24</v>
      </c>
      <c r="Q177" s="6" t="s">
        <v>72</v>
      </c>
      <c r="R177" s="7">
        <v>14</v>
      </c>
      <c r="S177" s="7">
        <v>30000</v>
      </c>
      <c r="T177" s="8">
        <v>420000</v>
      </c>
      <c r="U177" s="12"/>
    </row>
    <row r="178" spans="1:21">
      <c r="A178" s="16" t="s">
        <v>361</v>
      </c>
      <c r="B178" s="17" t="e">
        <f t="shared" si="2"/>
        <v>#VALUE!</v>
      </c>
      <c r="C178" s="18">
        <f>IF(ISNUMBER(B178),B178,DATE(RIGHT(A178,4),MID(A178,4,2),LEFT(A178,2)))</f>
        <v>45767</v>
      </c>
      <c r="D178" s="12"/>
      <c r="E178" s="16" t="str">
        <f>PROPER(TRIM('RAW Data'!C176))</f>
        <v>Tablet</v>
      </c>
      <c r="F178" s="6" t="str">
        <f>PROPER(TRIM('RAW Data'!D176))</f>
        <v>North</v>
      </c>
      <c r="G178" s="22" t="str">
        <f>PROPER(TRIM('RAW Data'!E176))</f>
        <v>Priya</v>
      </c>
      <c r="H178" s="12"/>
      <c r="I178" s="24">
        <v>50</v>
      </c>
      <c r="J178" s="7">
        <v>30000</v>
      </c>
      <c r="K178" s="8">
        <v>1500000</v>
      </c>
      <c r="L178" s="12"/>
      <c r="M178" s="26">
        <v>45767</v>
      </c>
      <c r="N178" s="6" t="s">
        <v>362</v>
      </c>
      <c r="O178" s="6" t="s">
        <v>19</v>
      </c>
      <c r="P178" s="6" t="s">
        <v>24</v>
      </c>
      <c r="Q178" s="6" t="s">
        <v>61</v>
      </c>
      <c r="R178" s="7">
        <v>50</v>
      </c>
      <c r="S178" s="7">
        <v>30000</v>
      </c>
      <c r="T178" s="8">
        <v>1500000</v>
      </c>
      <c r="U178" s="12"/>
    </row>
    <row r="179" spans="1:21">
      <c r="A179" s="16" t="s">
        <v>363</v>
      </c>
      <c r="B179" s="17">
        <f t="shared" si="2"/>
        <v>45724</v>
      </c>
      <c r="C179" s="18">
        <f>IF(ISNUMBER(B179),B179,DATE(RIGHT(A179,4),MID(A179,4,2),LEFT(A179,2)))</f>
        <v>45724</v>
      </c>
      <c r="D179" s="12"/>
      <c r="E179" s="16" t="str">
        <f>PROPER(TRIM('RAW Data'!C177))</f>
        <v>Mobile</v>
      </c>
      <c r="F179" s="6" t="str">
        <f>PROPER(TRIM('RAW Data'!D177))</f>
        <v>East</v>
      </c>
      <c r="G179" s="22" t="str">
        <f>PROPER(TRIM('RAW Data'!E177))</f>
        <v>Amit</v>
      </c>
      <c r="H179" s="12"/>
      <c r="I179" s="24">
        <v>6</v>
      </c>
      <c r="J179" s="7">
        <v>800</v>
      </c>
      <c r="K179" s="8">
        <v>4800</v>
      </c>
      <c r="L179" s="12"/>
      <c r="M179" s="26">
        <v>45724</v>
      </c>
      <c r="N179" s="6" t="s">
        <v>364</v>
      </c>
      <c r="O179" s="6" t="s">
        <v>23</v>
      </c>
      <c r="P179" s="6" t="s">
        <v>29</v>
      </c>
      <c r="Q179" s="6" t="s">
        <v>16</v>
      </c>
      <c r="R179" s="7">
        <v>6</v>
      </c>
      <c r="S179" s="7">
        <v>800</v>
      </c>
      <c r="T179" s="8">
        <v>4800</v>
      </c>
      <c r="U179" s="12"/>
    </row>
    <row r="180" spans="1:21">
      <c r="A180" s="16" t="s">
        <v>75</v>
      </c>
      <c r="B180" s="17">
        <f t="shared" si="2"/>
        <v>45827</v>
      </c>
      <c r="C180" s="18">
        <f>IF(ISNUMBER(B180),B180,DATE(RIGHT(A180,4),MID(A180,4,2),LEFT(A180,2)))</f>
        <v>45827</v>
      </c>
      <c r="D180" s="12"/>
      <c r="E180" s="16" t="str">
        <f>PROPER(TRIM('RAW Data'!C178))</f>
        <v>Mobile</v>
      </c>
      <c r="F180" s="6" t="str">
        <f>PROPER(TRIM('RAW Data'!D178))</f>
        <v>South</v>
      </c>
      <c r="G180" s="22" t="str">
        <f>PROPER(TRIM('RAW Data'!E178))</f>
        <v>Amit</v>
      </c>
      <c r="H180" s="12"/>
      <c r="I180" s="24">
        <v>29</v>
      </c>
      <c r="J180" s="7">
        <v>800</v>
      </c>
      <c r="K180" s="8">
        <v>23200</v>
      </c>
      <c r="L180" s="12"/>
      <c r="M180" s="26">
        <v>45827</v>
      </c>
      <c r="N180" s="6" t="s">
        <v>365</v>
      </c>
      <c r="O180" s="6" t="s">
        <v>23</v>
      </c>
      <c r="P180" s="6" t="s">
        <v>11</v>
      </c>
      <c r="Q180" s="6" t="s">
        <v>16</v>
      </c>
      <c r="R180" s="7">
        <v>29</v>
      </c>
      <c r="S180" s="7">
        <v>800</v>
      </c>
      <c r="T180" s="8">
        <v>23200</v>
      </c>
      <c r="U180" s="12"/>
    </row>
    <row r="181" spans="1:21">
      <c r="A181" s="16" t="s">
        <v>366</v>
      </c>
      <c r="B181" s="17">
        <f t="shared" si="2"/>
        <v>45748</v>
      </c>
      <c r="C181" s="18">
        <f>IF(ISNUMBER(B181),B181,DATE(RIGHT(A181,4),MID(A181,4,2),LEFT(A181,2)))</f>
        <v>45748</v>
      </c>
      <c r="D181" s="12"/>
      <c r="E181" s="16" t="str">
        <f>PROPER(TRIM('RAW Data'!C179))</f>
        <v>Accessories</v>
      </c>
      <c r="F181" s="6" t="str">
        <f>PROPER(TRIM('RAW Data'!D179))</f>
        <v>East</v>
      </c>
      <c r="G181" s="22" t="str">
        <f>PROPER(TRIM('RAW Data'!E179))</f>
        <v>Tina</v>
      </c>
      <c r="H181" s="12"/>
      <c r="I181" s="24">
        <v>12</v>
      </c>
      <c r="J181" s="7">
        <v>25000</v>
      </c>
      <c r="K181" s="8">
        <v>300434</v>
      </c>
      <c r="L181" s="12"/>
      <c r="M181" s="26">
        <v>45748</v>
      </c>
      <c r="N181" s="6" t="s">
        <v>367</v>
      </c>
      <c r="O181" s="6" t="s">
        <v>15</v>
      </c>
      <c r="P181" s="6" t="s">
        <v>29</v>
      </c>
      <c r="Q181" s="6" t="s">
        <v>38</v>
      </c>
      <c r="R181" s="7">
        <v>12</v>
      </c>
      <c r="S181" s="7">
        <v>25000</v>
      </c>
      <c r="T181" s="8">
        <v>300434</v>
      </c>
      <c r="U181" s="12"/>
    </row>
    <row r="182" spans="1:21">
      <c r="A182" s="16" t="s">
        <v>368</v>
      </c>
      <c r="B182" s="17">
        <f t="shared" si="2"/>
        <v>45741</v>
      </c>
      <c r="C182" s="18">
        <f>IF(ISNUMBER(B182),B182,DATE(RIGHT(A182,4),MID(A182,4,2),LEFT(A182,2)))</f>
        <v>45741</v>
      </c>
      <c r="D182" s="12"/>
      <c r="E182" s="16" t="str">
        <f>PROPER(TRIM('RAW Data'!C180))</f>
        <v>Tablet</v>
      </c>
      <c r="F182" s="6" t="str">
        <f>PROPER(TRIM('RAW Data'!D180))</f>
        <v>South</v>
      </c>
      <c r="G182" s="22" t="str">
        <f>PROPER(TRIM('RAW Data'!E180))</f>
        <v>Riya</v>
      </c>
      <c r="H182" s="12"/>
      <c r="I182" s="24">
        <v>28</v>
      </c>
      <c r="J182" s="7">
        <v>25000</v>
      </c>
      <c r="K182" s="8">
        <v>700343</v>
      </c>
      <c r="L182" s="12"/>
      <c r="M182" s="26">
        <v>45741</v>
      </c>
      <c r="N182" s="6" t="s">
        <v>369</v>
      </c>
      <c r="O182" s="6" t="s">
        <v>19</v>
      </c>
      <c r="P182" s="6" t="s">
        <v>11</v>
      </c>
      <c r="Q182" s="6" t="s">
        <v>30</v>
      </c>
      <c r="R182" s="7">
        <v>28</v>
      </c>
      <c r="S182" s="7">
        <v>25000</v>
      </c>
      <c r="T182" s="8">
        <v>700343</v>
      </c>
      <c r="U182" s="12"/>
    </row>
    <row r="183" spans="1:21">
      <c r="A183" s="16" t="s">
        <v>371</v>
      </c>
      <c r="B183" s="17">
        <f t="shared" si="2"/>
        <v>45783</v>
      </c>
      <c r="C183" s="18">
        <f>IF(ISNUMBER(B183),B183,DATE(RIGHT(A183,4),MID(A183,4,2),LEFT(A183,2)))</f>
        <v>45783</v>
      </c>
      <c r="D183" s="12"/>
      <c r="E183" s="16" t="str">
        <f>PROPER(TRIM('RAW Data'!C181))</f>
        <v>Laptop</v>
      </c>
      <c r="F183" s="6" t="str">
        <f>PROPER(TRIM('RAW Data'!D181))</f>
        <v>West</v>
      </c>
      <c r="G183" s="22" t="str">
        <f>PROPER(TRIM('RAW Data'!E181))</f>
        <v>Amit</v>
      </c>
      <c r="H183" s="12"/>
      <c r="I183" s="24">
        <v>28</v>
      </c>
      <c r="J183" s="7">
        <v>30000</v>
      </c>
      <c r="K183" s="8">
        <v>840000</v>
      </c>
      <c r="L183" s="12"/>
      <c r="M183" s="26">
        <v>45783</v>
      </c>
      <c r="N183" s="6" t="s">
        <v>372</v>
      </c>
      <c r="O183" s="6" t="s">
        <v>10</v>
      </c>
      <c r="P183" s="6" t="s">
        <v>51</v>
      </c>
      <c r="Q183" s="6" t="s">
        <v>16</v>
      </c>
      <c r="R183" s="7">
        <v>28</v>
      </c>
      <c r="S183" s="7">
        <v>30000</v>
      </c>
      <c r="T183" s="8">
        <v>840000</v>
      </c>
      <c r="U183" s="12"/>
    </row>
    <row r="184" spans="1:21">
      <c r="A184" s="16" t="s">
        <v>94</v>
      </c>
      <c r="B184" s="17">
        <f t="shared" si="2"/>
        <v>45789</v>
      </c>
      <c r="C184" s="18">
        <f>IF(ISNUMBER(B184),B184,DATE(RIGHT(A184,4),MID(A184,4,2),LEFT(A184,2)))</f>
        <v>45789</v>
      </c>
      <c r="D184" s="12"/>
      <c r="E184" s="16" t="str">
        <f>PROPER(TRIM('RAW Data'!C182))</f>
        <v>Moblie</v>
      </c>
      <c r="F184" s="6" t="str">
        <f>PROPER(TRIM('RAW Data'!D182))</f>
        <v>South</v>
      </c>
      <c r="G184" s="22" t="str">
        <f>PROPER(TRIM('RAW Data'!E182))</f>
        <v>Sonia</v>
      </c>
      <c r="H184" s="12"/>
      <c r="I184" s="24">
        <v>15</v>
      </c>
      <c r="J184" s="7">
        <v>800</v>
      </c>
      <c r="K184" s="8">
        <v>12000</v>
      </c>
      <c r="L184" s="12"/>
      <c r="M184" s="26">
        <v>45789</v>
      </c>
      <c r="N184" s="6" t="s">
        <v>373</v>
      </c>
      <c r="O184" s="6" t="s">
        <v>116</v>
      </c>
      <c r="P184" s="6" t="s">
        <v>11</v>
      </c>
      <c r="Q184" s="6" t="s">
        <v>20</v>
      </c>
      <c r="R184" s="7">
        <v>15</v>
      </c>
      <c r="S184" s="7">
        <v>800</v>
      </c>
      <c r="T184" s="8">
        <v>12000</v>
      </c>
      <c r="U184" s="12"/>
    </row>
    <row r="185" spans="1:21">
      <c r="A185" s="16" t="s">
        <v>374</v>
      </c>
      <c r="B185" s="17" t="e">
        <f t="shared" si="2"/>
        <v>#VALUE!</v>
      </c>
      <c r="C185" s="18">
        <f>IF(ISNUMBER(B185),B185,DATE(RIGHT(A185,4),MID(A185,4,2),LEFT(A185,2)))</f>
        <v>45836</v>
      </c>
      <c r="D185" s="12"/>
      <c r="E185" s="16" t="str">
        <f>PROPER(TRIM('RAW Data'!C183))</f>
        <v>Mobile</v>
      </c>
      <c r="F185" s="6" t="str">
        <f>PROPER(TRIM('RAW Data'!D183))</f>
        <v>South</v>
      </c>
      <c r="G185" s="22" t="str">
        <f>PROPER(TRIM('RAW Data'!E183))</f>
        <v>Sonia</v>
      </c>
      <c r="H185" s="12"/>
      <c r="I185" s="24">
        <v>32</v>
      </c>
      <c r="J185" s="7">
        <v>800</v>
      </c>
      <c r="K185" s="8">
        <v>25600</v>
      </c>
      <c r="L185" s="12"/>
      <c r="M185" s="26">
        <v>45836</v>
      </c>
      <c r="N185" s="6" t="s">
        <v>375</v>
      </c>
      <c r="O185" s="6" t="s">
        <v>23</v>
      </c>
      <c r="P185" s="6" t="s">
        <v>11</v>
      </c>
      <c r="Q185" s="6" t="s">
        <v>20</v>
      </c>
      <c r="R185" s="7">
        <v>32</v>
      </c>
      <c r="S185" s="7">
        <v>800</v>
      </c>
      <c r="T185" s="8">
        <v>25600</v>
      </c>
      <c r="U185" s="12"/>
    </row>
    <row r="186" spans="1:21">
      <c r="A186" s="16" t="s">
        <v>8</v>
      </c>
      <c r="B186" s="17">
        <f t="shared" si="2"/>
        <v>45775</v>
      </c>
      <c r="C186" s="18">
        <f>IF(ISNUMBER(B186),B186,DATE(RIGHT(A186,4),MID(A186,4,2),LEFT(A186,2)))</f>
        <v>45775</v>
      </c>
      <c r="D186" s="12"/>
      <c r="E186" s="16" t="str">
        <f>PROPER(TRIM('RAW Data'!C184))</f>
        <v>Laptop</v>
      </c>
      <c r="F186" s="6" t="str">
        <f>PROPER(TRIM('RAW Data'!D184))</f>
        <v>West</v>
      </c>
      <c r="G186" s="22" t="str">
        <f>PROPER(TRIM('RAW Data'!E184))</f>
        <v>Vivek</v>
      </c>
      <c r="H186" s="12"/>
      <c r="I186" s="24">
        <v>21</v>
      </c>
      <c r="J186" s="7">
        <v>1200</v>
      </c>
      <c r="K186" s="8">
        <v>25200</v>
      </c>
      <c r="L186" s="12"/>
      <c r="M186" s="26">
        <v>45775</v>
      </c>
      <c r="N186" s="6" t="s">
        <v>376</v>
      </c>
      <c r="O186" s="6" t="s">
        <v>10</v>
      </c>
      <c r="P186" s="6" t="s">
        <v>51</v>
      </c>
      <c r="Q186" s="6" t="s">
        <v>72</v>
      </c>
      <c r="R186" s="7">
        <v>21</v>
      </c>
      <c r="S186" s="7">
        <v>1200</v>
      </c>
      <c r="T186" s="8">
        <v>25200</v>
      </c>
      <c r="U186" s="12"/>
    </row>
    <row r="187" spans="1:21">
      <c r="A187" s="16" t="s">
        <v>377</v>
      </c>
      <c r="B187" s="17">
        <f t="shared" si="2"/>
        <v>45754</v>
      </c>
      <c r="C187" s="18">
        <f>IF(ISNUMBER(B187),B187,DATE(RIGHT(A187,4),MID(A187,4,2),LEFT(A187,2)))</f>
        <v>45754</v>
      </c>
      <c r="D187" s="12"/>
      <c r="E187" s="16" t="str">
        <f>PROPER(TRIM('RAW Data'!C185))</f>
        <v>Mobile</v>
      </c>
      <c r="F187" s="6" t="str">
        <f>PROPER(TRIM('RAW Data'!D185))</f>
        <v>West</v>
      </c>
      <c r="G187" s="22" t="str">
        <f>PROPER(TRIM('RAW Data'!E185))</f>
        <v>Riya</v>
      </c>
      <c r="H187" s="12"/>
      <c r="I187" s="24">
        <v>28</v>
      </c>
      <c r="J187" s="7">
        <v>25000</v>
      </c>
      <c r="K187" s="8">
        <v>700000</v>
      </c>
      <c r="L187" s="12"/>
      <c r="M187" s="26">
        <v>45754</v>
      </c>
      <c r="N187" s="6" t="s">
        <v>378</v>
      </c>
      <c r="O187" s="6" t="s">
        <v>23</v>
      </c>
      <c r="P187" s="6" t="s">
        <v>51</v>
      </c>
      <c r="Q187" s="6" t="s">
        <v>30</v>
      </c>
      <c r="R187" s="7">
        <v>28</v>
      </c>
      <c r="S187" s="7">
        <v>25000</v>
      </c>
      <c r="T187" s="8">
        <v>700000</v>
      </c>
      <c r="U187" s="12"/>
    </row>
    <row r="188" spans="1:21">
      <c r="A188" s="16" t="s">
        <v>94</v>
      </c>
      <c r="B188" s="17">
        <f t="shared" si="2"/>
        <v>45789</v>
      </c>
      <c r="C188" s="18">
        <f>IF(ISNUMBER(B188),B188,DATE(RIGHT(A188,4),MID(A188,4,2),LEFT(A188,2)))</f>
        <v>45789</v>
      </c>
      <c r="D188" s="12"/>
      <c r="E188" s="16" t="str">
        <f>PROPER(TRIM('RAW Data'!C186))</f>
        <v>Mobile</v>
      </c>
      <c r="F188" s="6" t="str">
        <f>PROPER(TRIM('RAW Data'!D186))</f>
        <v>North</v>
      </c>
      <c r="G188" s="22" t="str">
        <f>PROPER(TRIM('RAW Data'!E186))</f>
        <v/>
      </c>
      <c r="H188" s="12"/>
      <c r="I188" s="24">
        <v>30</v>
      </c>
      <c r="J188" s="7">
        <v>15000</v>
      </c>
      <c r="K188" s="8">
        <v>450000</v>
      </c>
      <c r="L188" s="12"/>
      <c r="M188" s="26">
        <v>45789</v>
      </c>
      <c r="N188" s="6" t="s">
        <v>379</v>
      </c>
      <c r="O188" s="6" t="s">
        <v>23</v>
      </c>
      <c r="P188" s="6" t="s">
        <v>24</v>
      </c>
      <c r="Q188" s="6" t="s">
        <v>411</v>
      </c>
      <c r="R188" s="7">
        <v>30</v>
      </c>
      <c r="S188" s="7">
        <v>15000</v>
      </c>
      <c r="T188" s="8">
        <v>450000</v>
      </c>
      <c r="U188" s="12"/>
    </row>
    <row r="189" spans="1:21">
      <c r="A189" s="16" t="s">
        <v>380</v>
      </c>
      <c r="B189" s="17">
        <f t="shared" si="2"/>
        <v>45967</v>
      </c>
      <c r="C189" s="18">
        <f>IF(ISNUMBER(B189),B189,DATE(RIGHT(A189,4),MID(A189,4,2),LEFT(A189,2)))</f>
        <v>45967</v>
      </c>
      <c r="D189" s="12"/>
      <c r="E189" s="16" t="str">
        <f>PROPER(TRIM('RAW Data'!C187))</f>
        <v>Mobile</v>
      </c>
      <c r="F189" s="6" t="str">
        <f>PROPER(TRIM('RAW Data'!D187))</f>
        <v>North</v>
      </c>
      <c r="G189" s="22" t="str">
        <f>PROPER(TRIM('RAW Data'!E187))</f>
        <v>Tina</v>
      </c>
      <c r="H189" s="12"/>
      <c r="I189" s="24">
        <v>27</v>
      </c>
      <c r="J189" s="7">
        <v>30000</v>
      </c>
      <c r="K189" s="8">
        <v>810000</v>
      </c>
      <c r="L189" s="12"/>
      <c r="M189" s="26">
        <v>45967</v>
      </c>
      <c r="N189" s="6" t="s">
        <v>381</v>
      </c>
      <c r="O189" s="6" t="s">
        <v>23</v>
      </c>
      <c r="P189" s="6" t="s">
        <v>24</v>
      </c>
      <c r="Q189" s="6" t="s">
        <v>38</v>
      </c>
      <c r="R189" s="7">
        <v>27</v>
      </c>
      <c r="S189" s="7">
        <v>30000</v>
      </c>
      <c r="T189" s="8">
        <v>810000</v>
      </c>
      <c r="U189" s="12"/>
    </row>
    <row r="190" spans="1:21">
      <c r="A190" s="16" t="s">
        <v>382</v>
      </c>
      <c r="B190" s="17">
        <f t="shared" si="2"/>
        <v>45822</v>
      </c>
      <c r="C190" s="18">
        <f>IF(ISNUMBER(B190),B190,DATE(RIGHT(A190,4),MID(A190,4,2),LEFT(A190,2)))</f>
        <v>45822</v>
      </c>
      <c r="D190" s="12"/>
      <c r="E190" s="16" t="str">
        <f>PROPER(TRIM('RAW Data'!C188))</f>
        <v>Mobile</v>
      </c>
      <c r="F190" s="6" t="str">
        <f>PROPER(TRIM('RAW Data'!D188))</f>
        <v>North</v>
      </c>
      <c r="G190" s="22" t="str">
        <f>PROPER(TRIM('RAW Data'!E188))</f>
        <v>Manish</v>
      </c>
      <c r="H190" s="12"/>
      <c r="I190" s="24">
        <v>3</v>
      </c>
      <c r="J190" s="7">
        <v>30000</v>
      </c>
      <c r="K190" s="8">
        <v>90000</v>
      </c>
      <c r="L190" s="12"/>
      <c r="M190" s="26">
        <v>45822</v>
      </c>
      <c r="N190" s="6" t="s">
        <v>383</v>
      </c>
      <c r="O190" s="6" t="s">
        <v>23</v>
      </c>
      <c r="P190" s="6" t="s">
        <v>24</v>
      </c>
      <c r="Q190" s="6" t="s">
        <v>46</v>
      </c>
      <c r="R190" s="7">
        <v>3</v>
      </c>
      <c r="S190" s="7">
        <v>30000</v>
      </c>
      <c r="T190" s="8">
        <v>90000</v>
      </c>
      <c r="U190" s="12"/>
    </row>
    <row r="191" spans="1:21">
      <c r="A191" s="16" t="s">
        <v>384</v>
      </c>
      <c r="B191" s="17">
        <f t="shared" si="2"/>
        <v>45873</v>
      </c>
      <c r="C191" s="18">
        <f>IF(ISNUMBER(B191),B191,DATE(RIGHT(A191,4),MID(A191,4,2),LEFT(A191,2)))</f>
        <v>45873</v>
      </c>
      <c r="D191" s="12"/>
      <c r="E191" s="16" t="str">
        <f>PROPER(TRIM('RAW Data'!C189))</f>
        <v>Lapotp</v>
      </c>
      <c r="F191" s="6" t="str">
        <f>PROPER(TRIM('RAW Data'!D189))</f>
        <v>West</v>
      </c>
      <c r="G191" s="22" t="str">
        <f>PROPER(TRIM('RAW Data'!E189))</f>
        <v>Tina</v>
      </c>
      <c r="H191" s="12"/>
      <c r="I191" s="24">
        <v>43</v>
      </c>
      <c r="J191" s="7">
        <v>1200</v>
      </c>
      <c r="K191" s="8">
        <v>51600</v>
      </c>
      <c r="L191" s="12"/>
      <c r="M191" s="26">
        <v>45873</v>
      </c>
      <c r="N191" s="6" t="s">
        <v>385</v>
      </c>
      <c r="O191" s="6" t="s">
        <v>143</v>
      </c>
      <c r="P191" s="6" t="s">
        <v>51</v>
      </c>
      <c r="Q191" s="6" t="s">
        <v>38</v>
      </c>
      <c r="R191" s="7">
        <v>43</v>
      </c>
      <c r="S191" s="7">
        <v>1200</v>
      </c>
      <c r="T191" s="8">
        <v>51600</v>
      </c>
      <c r="U191" s="12"/>
    </row>
    <row r="192" spans="1:21">
      <c r="A192" s="16" t="s">
        <v>36</v>
      </c>
      <c r="B192" s="17">
        <f t="shared" si="2"/>
        <v>45751</v>
      </c>
      <c r="C192" s="18">
        <f>IF(ISNUMBER(B192),B192,DATE(RIGHT(A192,4),MID(A192,4,2),LEFT(A192,2)))</f>
        <v>45751</v>
      </c>
      <c r="D192" s="12"/>
      <c r="E192" s="16" t="str">
        <f>PROPER(TRIM('RAW Data'!C190))</f>
        <v>Tablet</v>
      </c>
      <c r="F192" s="6" t="str">
        <f>PROPER(TRIM('RAW Data'!D190))</f>
        <v>East</v>
      </c>
      <c r="G192" s="22" t="str">
        <f>PROPER(TRIM('RAW Data'!E190))</f>
        <v>Karan</v>
      </c>
      <c r="H192" s="12"/>
      <c r="I192" s="24">
        <v>27</v>
      </c>
      <c r="J192" s="7">
        <v>1200</v>
      </c>
      <c r="K192" s="8">
        <v>32400</v>
      </c>
      <c r="L192" s="12"/>
      <c r="M192" s="26">
        <v>45751</v>
      </c>
      <c r="N192" s="6" t="s">
        <v>387</v>
      </c>
      <c r="O192" s="6" t="s">
        <v>19</v>
      </c>
      <c r="P192" s="6" t="s">
        <v>29</v>
      </c>
      <c r="Q192" s="6" t="s">
        <v>33</v>
      </c>
      <c r="R192" s="7">
        <v>27</v>
      </c>
      <c r="S192" s="7">
        <v>1200</v>
      </c>
      <c r="T192" s="8">
        <v>32400</v>
      </c>
      <c r="U192" s="12"/>
    </row>
    <row r="193" spans="1:21">
      <c r="A193" s="16" t="s">
        <v>388</v>
      </c>
      <c r="B193" s="17">
        <f t="shared" si="2"/>
        <v>45774</v>
      </c>
      <c r="C193" s="18">
        <f>IF(ISNUMBER(B193),B193,DATE(RIGHT(A193,4),MID(A193,4,2),LEFT(A193,2)))</f>
        <v>45774</v>
      </c>
      <c r="D193" s="12"/>
      <c r="E193" s="16" t="str">
        <f>PROPER(TRIM('RAW Data'!C191))</f>
        <v>Accessories</v>
      </c>
      <c r="F193" s="6" t="str">
        <f>PROPER(TRIM('RAW Data'!D191))</f>
        <v>East</v>
      </c>
      <c r="G193" s="22" t="str">
        <f>PROPER(TRIM('RAW Data'!E191))</f>
        <v>Amit</v>
      </c>
      <c r="H193" s="12"/>
      <c r="I193" s="24">
        <v>49</v>
      </c>
      <c r="J193" s="7">
        <v>50000</v>
      </c>
      <c r="K193" s="8">
        <v>2450000</v>
      </c>
      <c r="L193" s="12"/>
      <c r="M193" s="26">
        <v>45774</v>
      </c>
      <c r="N193" s="6" t="s">
        <v>389</v>
      </c>
      <c r="O193" s="6" t="s">
        <v>15</v>
      </c>
      <c r="P193" s="6" t="s">
        <v>29</v>
      </c>
      <c r="Q193" s="6" t="s">
        <v>16</v>
      </c>
      <c r="R193" s="7">
        <v>49</v>
      </c>
      <c r="S193" s="7">
        <v>50000</v>
      </c>
      <c r="T193" s="8">
        <v>2450000</v>
      </c>
      <c r="U193" s="12"/>
    </row>
    <row r="194" spans="1:21">
      <c r="A194" s="16" t="s">
        <v>390</v>
      </c>
      <c r="B194" s="17" t="e">
        <f t="shared" si="2"/>
        <v>#VALUE!</v>
      </c>
      <c r="C194" s="18">
        <f>IF(ISNUMBER(B194),B194,DATE(RIGHT(A194,4),MID(A194,4,2),LEFT(A194,2)))</f>
        <v>45671</v>
      </c>
      <c r="D194" s="12"/>
      <c r="E194" s="16" t="str">
        <f>PROPER(TRIM('RAW Data'!C192))</f>
        <v>Accessories</v>
      </c>
      <c r="F194" s="6" t="str">
        <f>PROPER(TRIM('RAW Data'!D192))</f>
        <v>North</v>
      </c>
      <c r="G194" s="22" t="str">
        <f>PROPER(TRIM('RAW Data'!E192))</f>
        <v>Tina</v>
      </c>
      <c r="H194" s="12"/>
      <c r="I194" s="24">
        <v>25</v>
      </c>
      <c r="J194" s="7">
        <v>25000</v>
      </c>
      <c r="K194" s="8">
        <v>625000</v>
      </c>
      <c r="L194" s="12"/>
      <c r="M194" s="26">
        <v>45671</v>
      </c>
      <c r="N194" s="6" t="s">
        <v>391</v>
      </c>
      <c r="O194" s="6" t="s">
        <v>15</v>
      </c>
      <c r="P194" s="6" t="s">
        <v>24</v>
      </c>
      <c r="Q194" s="6" t="s">
        <v>38</v>
      </c>
      <c r="R194" s="7">
        <v>25</v>
      </c>
      <c r="S194" s="7">
        <v>25000</v>
      </c>
      <c r="T194" s="8">
        <v>625000</v>
      </c>
      <c r="U194" s="12"/>
    </row>
    <row r="195" spans="1:21">
      <c r="A195" s="16" t="s">
        <v>392</v>
      </c>
      <c r="B195" s="17" t="e">
        <f t="shared" si="2"/>
        <v>#VALUE!</v>
      </c>
      <c r="C195" s="18">
        <f>IF(ISNUMBER(B195),B195,DATE(RIGHT(A195,4),MID(A195,4,2),LEFT(A195,2)))</f>
        <v>45791</v>
      </c>
      <c r="D195" s="12"/>
      <c r="E195" s="16" t="str">
        <f>PROPER(TRIM('RAW Data'!C193))</f>
        <v>Accessories</v>
      </c>
      <c r="F195" s="6" t="str">
        <f>PROPER(TRIM('RAW Data'!D193))</f>
        <v>East</v>
      </c>
      <c r="G195" s="22" t="str">
        <f>PROPER(TRIM('RAW Data'!E193))</f>
        <v>Vivek</v>
      </c>
      <c r="H195" s="12"/>
      <c r="I195" s="24">
        <v>35</v>
      </c>
      <c r="J195" s="7">
        <v>15000</v>
      </c>
      <c r="K195" s="8">
        <v>525000</v>
      </c>
      <c r="L195" s="12"/>
      <c r="M195" s="26">
        <v>45791</v>
      </c>
      <c r="N195" s="6" t="s">
        <v>393</v>
      </c>
      <c r="O195" s="6" t="s">
        <v>15</v>
      </c>
      <c r="P195" s="6" t="s">
        <v>29</v>
      </c>
      <c r="Q195" s="6" t="s">
        <v>72</v>
      </c>
      <c r="R195" s="7">
        <v>35</v>
      </c>
      <c r="S195" s="7">
        <v>15000</v>
      </c>
      <c r="T195" s="8">
        <v>525000</v>
      </c>
      <c r="U195" s="12"/>
    </row>
    <row r="196" spans="1:21">
      <c r="A196" s="16" t="s">
        <v>394</v>
      </c>
      <c r="B196" s="17">
        <f t="shared" si="2"/>
        <v>45962</v>
      </c>
      <c r="C196" s="18">
        <f>IF(ISNUMBER(B196),B196,DATE(RIGHT(A196,4),MID(A196,4,2),LEFT(A196,2)))</f>
        <v>45962</v>
      </c>
      <c r="D196" s="12"/>
      <c r="E196" s="16" t="str">
        <f>PROPER(TRIM('RAW Data'!C194))</f>
        <v>Mobile</v>
      </c>
      <c r="F196" s="6" t="str">
        <f>PROPER(TRIM('RAW Data'!D194))</f>
        <v>East</v>
      </c>
      <c r="G196" s="22" t="str">
        <f>PROPER(TRIM('RAW Data'!E194))</f>
        <v>Tina</v>
      </c>
      <c r="H196" s="12"/>
      <c r="I196" s="24">
        <v>24</v>
      </c>
      <c r="J196" s="7">
        <v>800</v>
      </c>
      <c r="K196" s="8">
        <v>19200</v>
      </c>
      <c r="L196" s="12"/>
      <c r="M196" s="26">
        <v>45962</v>
      </c>
      <c r="N196" s="6" t="s">
        <v>395</v>
      </c>
      <c r="O196" s="6" t="s">
        <v>23</v>
      </c>
      <c r="P196" s="6" t="s">
        <v>29</v>
      </c>
      <c r="Q196" s="6" t="s">
        <v>38</v>
      </c>
      <c r="R196" s="7">
        <v>24</v>
      </c>
      <c r="S196" s="7">
        <v>800</v>
      </c>
      <c r="T196" s="8">
        <v>19200</v>
      </c>
      <c r="U196" s="12"/>
    </row>
    <row r="197" spans="1:21">
      <c r="A197" s="16" t="s">
        <v>8</v>
      </c>
      <c r="B197" s="17">
        <f t="shared" ref="B197:B203" si="3">VALUE(A197)</f>
        <v>45775</v>
      </c>
      <c r="C197" s="18">
        <f>IF(ISNUMBER(B197),B197,DATE(RIGHT(A197,4),MID(A197,4,2),LEFT(A197,2)))</f>
        <v>45775</v>
      </c>
      <c r="D197" s="12"/>
      <c r="E197" s="16" t="str">
        <f>PROPER(TRIM('RAW Data'!C195))</f>
        <v>Tablet</v>
      </c>
      <c r="F197" s="6" t="str">
        <f>PROPER(TRIM('RAW Data'!D195))</f>
        <v>East</v>
      </c>
      <c r="G197" s="22" t="str">
        <f>PROPER(TRIM('RAW Data'!E195))</f>
        <v>Rohit</v>
      </c>
      <c r="H197" s="12"/>
      <c r="I197" s="24">
        <v>16</v>
      </c>
      <c r="J197" s="7">
        <v>1200</v>
      </c>
      <c r="K197" s="8">
        <v>19200</v>
      </c>
      <c r="L197" s="12"/>
      <c r="M197" s="26">
        <v>45775</v>
      </c>
      <c r="N197" s="6" t="s">
        <v>396</v>
      </c>
      <c r="O197" s="6" t="s">
        <v>19</v>
      </c>
      <c r="P197" s="6" t="s">
        <v>29</v>
      </c>
      <c r="Q197" s="6" t="s">
        <v>12</v>
      </c>
      <c r="R197" s="7">
        <v>16</v>
      </c>
      <c r="S197" s="7">
        <v>1200</v>
      </c>
      <c r="T197" s="8">
        <v>19200</v>
      </c>
      <c r="U197" s="12"/>
    </row>
    <row r="198" spans="1:21">
      <c r="A198" s="16" t="s">
        <v>397</v>
      </c>
      <c r="B198" s="17" t="e">
        <f t="shared" si="3"/>
        <v>#VALUE!</v>
      </c>
      <c r="C198" s="18">
        <f>IF(ISNUMBER(B198),B198,DATE(RIGHT(A198,4),MID(A198,4,2),LEFT(A198,2)))</f>
        <v>45703</v>
      </c>
      <c r="D198" s="12"/>
      <c r="E198" s="16" t="str">
        <f>PROPER(TRIM('RAW Data'!C196))</f>
        <v>Accessories</v>
      </c>
      <c r="F198" s="6" t="str">
        <f>PROPER(TRIM('RAW Data'!D196))</f>
        <v>East</v>
      </c>
      <c r="G198" s="22" t="str">
        <f>PROPER(TRIM('RAW Data'!E196))</f>
        <v>Manish</v>
      </c>
      <c r="H198" s="12"/>
      <c r="I198" s="24">
        <v>19</v>
      </c>
      <c r="J198" s="7">
        <v>30000</v>
      </c>
      <c r="K198" s="8">
        <v>570000</v>
      </c>
      <c r="L198" s="12"/>
      <c r="M198" s="26">
        <v>45703</v>
      </c>
      <c r="N198" s="6" t="s">
        <v>398</v>
      </c>
      <c r="O198" s="6" t="s">
        <v>15</v>
      </c>
      <c r="P198" s="6" t="s">
        <v>29</v>
      </c>
      <c r="Q198" s="6" t="s">
        <v>46</v>
      </c>
      <c r="R198" s="7">
        <v>19</v>
      </c>
      <c r="S198" s="7">
        <v>30000</v>
      </c>
      <c r="T198" s="8">
        <v>570000</v>
      </c>
      <c r="U198" s="12"/>
    </row>
    <row r="199" spans="1:21">
      <c r="A199" s="16" t="s">
        <v>106</v>
      </c>
      <c r="B199" s="17">
        <f t="shared" si="3"/>
        <v>45836</v>
      </c>
      <c r="C199" s="18">
        <f>IF(ISNUMBER(B199),B199,DATE(RIGHT(A199,4),MID(A199,4,2),LEFT(A199,2)))</f>
        <v>45836</v>
      </c>
      <c r="D199" s="12"/>
      <c r="E199" s="16" t="str">
        <f>PROPER(TRIM('RAW Data'!C197))</f>
        <v>Mobile</v>
      </c>
      <c r="F199" s="6" t="str">
        <f>PROPER(TRIM('RAW Data'!D197))</f>
        <v>East</v>
      </c>
      <c r="G199" s="22" t="str">
        <f>PROPER(TRIM('RAW Data'!E197))</f>
        <v>Vivek</v>
      </c>
      <c r="H199" s="12"/>
      <c r="I199" s="24">
        <v>12</v>
      </c>
      <c r="J199" s="7">
        <v>800</v>
      </c>
      <c r="K199" s="8">
        <v>9600</v>
      </c>
      <c r="L199" s="12"/>
      <c r="M199" s="26">
        <v>45836</v>
      </c>
      <c r="N199" s="6" t="s">
        <v>399</v>
      </c>
      <c r="O199" s="6" t="s">
        <v>23</v>
      </c>
      <c r="P199" s="6" t="s">
        <v>29</v>
      </c>
      <c r="Q199" s="6" t="s">
        <v>72</v>
      </c>
      <c r="R199" s="7">
        <v>12</v>
      </c>
      <c r="S199" s="7">
        <v>800</v>
      </c>
      <c r="T199" s="8">
        <v>9600</v>
      </c>
      <c r="U199" s="12"/>
    </row>
    <row r="200" spans="1:21">
      <c r="A200" s="16" t="s">
        <v>160</v>
      </c>
      <c r="B200" s="17">
        <f t="shared" si="3"/>
        <v>45781</v>
      </c>
      <c r="C200" s="18">
        <f>IF(ISNUMBER(B200),B200,DATE(RIGHT(A200,4),MID(A200,4,2),LEFT(A200,2)))</f>
        <v>45781</v>
      </c>
      <c r="D200" s="12"/>
      <c r="E200" s="16" t="str">
        <f>PROPER(TRIM('RAW Data'!C198))</f>
        <v>Mobile</v>
      </c>
      <c r="F200" s="6" t="str">
        <f>PROPER(TRIM('RAW Data'!D198))</f>
        <v>West</v>
      </c>
      <c r="G200" s="22" t="str">
        <f>PROPER(TRIM('RAW Data'!E198))</f>
        <v>Neha</v>
      </c>
      <c r="H200" s="12"/>
      <c r="I200" s="24">
        <v>23</v>
      </c>
      <c r="J200" s="7">
        <v>1200</v>
      </c>
      <c r="K200" s="8">
        <v>27600</v>
      </c>
      <c r="L200" s="12"/>
      <c r="M200" s="26">
        <v>45781</v>
      </c>
      <c r="N200" s="6" t="s">
        <v>400</v>
      </c>
      <c r="O200" s="6" t="s">
        <v>23</v>
      </c>
      <c r="P200" s="6" t="s">
        <v>51</v>
      </c>
      <c r="Q200" s="6" t="s">
        <v>25</v>
      </c>
      <c r="R200" s="7">
        <v>23</v>
      </c>
      <c r="S200" s="7">
        <v>1200</v>
      </c>
      <c r="T200" s="8">
        <v>27600</v>
      </c>
      <c r="U200" s="12"/>
    </row>
    <row r="201" spans="1:21">
      <c r="A201" s="16" t="s">
        <v>401</v>
      </c>
      <c r="B201" s="17">
        <f t="shared" si="3"/>
        <v>45766</v>
      </c>
      <c r="C201" s="18">
        <f>IF(ISNUMBER(B201),B201,DATE(RIGHT(A201,4),MID(A201,4,2),LEFT(A201,2)))</f>
        <v>45766</v>
      </c>
      <c r="D201" s="12"/>
      <c r="E201" s="16" t="str">
        <f>PROPER(TRIM('RAW Data'!C199))</f>
        <v>Laptop</v>
      </c>
      <c r="F201" s="6" t="str">
        <f>PROPER(TRIM('RAW Data'!D199))</f>
        <v>North</v>
      </c>
      <c r="G201" s="22" t="str">
        <f>PROPER(TRIM('RAW Data'!E199))</f>
        <v>Rohit</v>
      </c>
      <c r="H201" s="12"/>
      <c r="I201" s="24">
        <v>5</v>
      </c>
      <c r="J201" s="7">
        <v>1200</v>
      </c>
      <c r="K201" s="8">
        <v>6000</v>
      </c>
      <c r="L201" s="12"/>
      <c r="M201" s="26">
        <v>45766</v>
      </c>
      <c r="N201" s="6" t="s">
        <v>402</v>
      </c>
      <c r="O201" s="6" t="s">
        <v>10</v>
      </c>
      <c r="P201" s="6" t="s">
        <v>24</v>
      </c>
      <c r="Q201" s="6" t="s">
        <v>12</v>
      </c>
      <c r="R201" s="7">
        <v>5</v>
      </c>
      <c r="S201" s="7">
        <v>1200</v>
      </c>
      <c r="T201" s="8">
        <v>6000</v>
      </c>
      <c r="U201" s="12"/>
    </row>
    <row r="202" spans="1:21">
      <c r="A202" s="16" t="s">
        <v>141</v>
      </c>
      <c r="B202" s="17">
        <f t="shared" si="3"/>
        <v>45819</v>
      </c>
      <c r="C202" s="18">
        <f>IF(ISNUMBER(B202),B202,DATE(RIGHT(A202,4),MID(A202,4,2),LEFT(A202,2)))</f>
        <v>45819</v>
      </c>
      <c r="D202" s="12"/>
      <c r="E202" s="16" t="str">
        <f>PROPER(TRIM('RAW Data'!C200))</f>
        <v>Accessories</v>
      </c>
      <c r="F202" s="6" t="str">
        <f>PROPER(TRIM('RAW Data'!D200))</f>
        <v>South</v>
      </c>
      <c r="G202" s="22" t="str">
        <f>PROPER(TRIM('RAW Data'!E200))</f>
        <v>Amit</v>
      </c>
      <c r="H202" s="12"/>
      <c r="I202" s="24">
        <v>44</v>
      </c>
      <c r="J202" s="7">
        <v>1200</v>
      </c>
      <c r="K202" s="8">
        <v>52800</v>
      </c>
      <c r="L202" s="12"/>
      <c r="M202" s="26">
        <v>45819</v>
      </c>
      <c r="N202" s="6" t="s">
        <v>403</v>
      </c>
      <c r="O202" s="6" t="s">
        <v>15</v>
      </c>
      <c r="P202" s="6" t="s">
        <v>11</v>
      </c>
      <c r="Q202" s="6" t="s">
        <v>16</v>
      </c>
      <c r="R202" s="7">
        <v>44</v>
      </c>
      <c r="S202" s="7">
        <v>1200</v>
      </c>
      <c r="T202" s="8">
        <v>52800</v>
      </c>
      <c r="U202" s="12"/>
    </row>
    <row r="203" spans="1:21">
      <c r="A203" s="19" t="s">
        <v>47</v>
      </c>
      <c r="B203" s="20">
        <f t="shared" si="3"/>
        <v>45772</v>
      </c>
      <c r="C203" s="21">
        <f>IF(ISNUMBER(B203),B203,DATE(RIGHT(A203,4),MID(A203,4,2),LEFT(A203,2)))</f>
        <v>45772</v>
      </c>
      <c r="D203" s="12"/>
      <c r="E203" s="19" t="str">
        <f>PROPER(TRIM('RAW Data'!C201))</f>
        <v>Tablet</v>
      </c>
      <c r="F203" s="9" t="str">
        <f>PROPER(TRIM('RAW Data'!D201))</f>
        <v>North</v>
      </c>
      <c r="G203" s="23" t="str">
        <f>PROPER(TRIM('RAW Data'!E201))</f>
        <v>Sonia</v>
      </c>
      <c r="H203" s="12"/>
      <c r="I203" s="25">
        <v>46</v>
      </c>
      <c r="J203" s="10">
        <v>25000</v>
      </c>
      <c r="K203" s="11">
        <v>1150000</v>
      </c>
      <c r="L203" s="12"/>
      <c r="M203" s="27">
        <v>45772</v>
      </c>
      <c r="N203" s="9" t="s">
        <v>405</v>
      </c>
      <c r="O203" s="9" t="s">
        <v>19</v>
      </c>
      <c r="P203" s="9" t="s">
        <v>24</v>
      </c>
      <c r="Q203" s="9" t="s">
        <v>20</v>
      </c>
      <c r="R203" s="10">
        <v>46</v>
      </c>
      <c r="S203" s="10">
        <v>25000</v>
      </c>
      <c r="T203" s="11">
        <v>1150000</v>
      </c>
      <c r="U203" s="12"/>
    </row>
    <row r="204" spans="1:2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</row>
  </sheetData>
  <mergeCells count="4">
    <mergeCell ref="A1:C2"/>
    <mergeCell ref="E1:G2"/>
    <mergeCell ref="I1:K2"/>
    <mergeCell ref="M1:T2"/>
  </mergeCells>
  <conditionalFormatting sqref="B4:B203">
    <cfRule type="expression" dxfId="6" priority="1">
      <formula>ISERROR(B4)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3302-DE17-42B3-B07A-35461F49A108}">
  <dimension ref="A1:V204"/>
  <sheetViews>
    <sheetView workbookViewId="0">
      <selection activeCell="M11" sqref="M11"/>
    </sheetView>
  </sheetViews>
  <sheetFormatPr defaultRowHeight="15"/>
  <cols>
    <col min="1" max="1" width="13.85546875" customWidth="1"/>
    <col min="2" max="2" width="13.42578125" customWidth="1"/>
    <col min="3" max="3" width="13.28515625" customWidth="1"/>
    <col min="4" max="4" width="11.85546875" customWidth="1"/>
    <col min="5" max="6" width="10.85546875" customWidth="1"/>
    <col min="7" max="7" width="11.42578125" customWidth="1"/>
    <col min="8" max="8" width="11.7109375" customWidth="1"/>
    <col min="9" max="9" width="14" bestFit="1" customWidth="1"/>
    <col min="10" max="10" width="16" bestFit="1" customWidth="1"/>
    <col min="11" max="11" width="16.28515625" bestFit="1" customWidth="1"/>
    <col min="12" max="12" width="18.28515625" bestFit="1" customWidth="1"/>
    <col min="16" max="16" width="11.42578125" bestFit="1" customWidth="1"/>
    <col min="17" max="17" width="15.140625" bestFit="1" customWidth="1"/>
    <col min="19" max="19" width="11.42578125" bestFit="1" customWidth="1"/>
    <col min="20" max="20" width="12.42578125" bestFit="1" customWidth="1"/>
    <col min="21" max="21" width="17.42578125" bestFit="1" customWidth="1"/>
  </cols>
  <sheetData>
    <row r="1" spans="1:22" ht="15" customHeight="1">
      <c r="A1" s="58" t="s">
        <v>412</v>
      </c>
      <c r="B1" s="59"/>
      <c r="C1" s="59"/>
      <c r="D1" s="59"/>
      <c r="E1" s="59"/>
      <c r="F1" s="59"/>
      <c r="G1" s="59"/>
      <c r="H1" s="59"/>
      <c r="I1" s="62" t="s">
        <v>413</v>
      </c>
      <c r="J1" s="63"/>
      <c r="K1" s="63"/>
      <c r="L1" s="64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ht="15" customHeight="1">
      <c r="A2" s="60"/>
      <c r="B2" s="61"/>
      <c r="C2" s="61"/>
      <c r="D2" s="61"/>
      <c r="E2" s="61"/>
      <c r="F2" s="61"/>
      <c r="G2" s="61"/>
      <c r="H2" s="61"/>
      <c r="I2" s="65"/>
      <c r="J2" s="66"/>
      <c r="K2" s="66"/>
      <c r="L2" s="67"/>
      <c r="M2" s="33"/>
      <c r="N2" s="33"/>
      <c r="O2" s="33"/>
      <c r="P2" s="68" t="s">
        <v>414</v>
      </c>
      <c r="Q2" s="68"/>
      <c r="R2" s="33"/>
      <c r="S2" s="69" t="s">
        <v>415</v>
      </c>
      <c r="T2" s="69"/>
      <c r="U2" s="69"/>
      <c r="V2" s="33"/>
    </row>
    <row r="3" spans="1:22" ht="15" customHeight="1">
      <c r="A3" s="36" t="s">
        <v>0</v>
      </c>
      <c r="B3" s="36" t="s">
        <v>1</v>
      </c>
      <c r="C3" s="36" t="s">
        <v>2</v>
      </c>
      <c r="D3" s="36" t="s">
        <v>3</v>
      </c>
      <c r="E3" s="36" t="s">
        <v>4</v>
      </c>
      <c r="F3" s="36" t="s">
        <v>5</v>
      </c>
      <c r="G3" s="36" t="s">
        <v>6</v>
      </c>
      <c r="H3" s="36" t="s">
        <v>7</v>
      </c>
      <c r="I3" s="47" t="s">
        <v>416</v>
      </c>
      <c r="J3" s="36" t="s">
        <v>417</v>
      </c>
      <c r="K3" s="36" t="s">
        <v>418</v>
      </c>
      <c r="L3" s="36" t="s">
        <v>419</v>
      </c>
      <c r="M3" s="33"/>
      <c r="N3" s="33"/>
      <c r="O3" s="33"/>
      <c r="P3" s="68"/>
      <c r="Q3" s="68"/>
      <c r="R3" s="33"/>
      <c r="S3" s="69"/>
      <c r="T3" s="69"/>
      <c r="U3" s="69"/>
      <c r="V3" s="33"/>
    </row>
    <row r="4" spans="1:22">
      <c r="A4" s="26">
        <v>45775</v>
      </c>
      <c r="B4" s="6" t="s">
        <v>9</v>
      </c>
      <c r="C4" s="6" t="s">
        <v>10</v>
      </c>
      <c r="D4" s="6" t="s">
        <v>11</v>
      </c>
      <c r="E4" s="6" t="s">
        <v>12</v>
      </c>
      <c r="F4" s="7">
        <v>27</v>
      </c>
      <c r="G4" s="7">
        <v>1200</v>
      </c>
      <c r="H4" s="7">
        <v>32400</v>
      </c>
      <c r="I4" s="16" t="str">
        <f>IF(D4="",$P$5,"")</f>
        <v/>
      </c>
      <c r="J4" s="6" t="str">
        <f>IF(I4="",D4,I4)</f>
        <v>South</v>
      </c>
      <c r="K4" s="6" t="str" cm="1">
        <f t="array" ref="K4">_xlfn.IFS(AND(J4=$S$6,E4=""),$T$6,AND(J4=$S$17,E4=""),$T$17,AND(J4=$S$29,E4=""),$T$29,AND(J4=$S$41,E4=""),$T$41,TRUE,"")</f>
        <v/>
      </c>
      <c r="L4" s="22" t="str">
        <f>IF(K4="",E4,K4)</f>
        <v>Rohit</v>
      </c>
      <c r="M4" s="33"/>
      <c r="N4" s="33"/>
      <c r="O4" s="33"/>
      <c r="P4" s="34" t="s">
        <v>3</v>
      </c>
      <c r="Q4" s="28" t="s">
        <v>420</v>
      </c>
      <c r="R4" s="33"/>
      <c r="S4" s="34" t="s">
        <v>3</v>
      </c>
      <c r="T4" s="34" t="s">
        <v>4</v>
      </c>
      <c r="U4" s="28" t="s">
        <v>421</v>
      </c>
      <c r="V4" s="33"/>
    </row>
    <row r="5" spans="1:22">
      <c r="A5" s="26">
        <v>45755</v>
      </c>
      <c r="B5" s="6" t="s">
        <v>14</v>
      </c>
      <c r="C5" s="6" t="s">
        <v>15</v>
      </c>
      <c r="D5" s="6" t="s">
        <v>11</v>
      </c>
      <c r="E5" s="6" t="s">
        <v>16</v>
      </c>
      <c r="F5" s="7">
        <v>30</v>
      </c>
      <c r="G5" s="7">
        <v>25000</v>
      </c>
      <c r="H5" s="7">
        <v>750000</v>
      </c>
      <c r="I5" s="16" t="str">
        <f>IF(D5="",$P$5,"")</f>
        <v/>
      </c>
      <c r="J5" s="6" t="str">
        <f>IF(I5="",D5,I5)</f>
        <v>South</v>
      </c>
      <c r="K5" s="6" t="str" cm="1">
        <f t="array" ref="K5">_xlfn.IFS(AND(J5=$S$6,E5=""),$T$6,AND(J5=$S$17,E5=""),$T$17,AND(J5=$S$29,E5=""),$T$29,AND(J5=$S$41,E5=""),$T$41,TRUE,"")</f>
        <v/>
      </c>
      <c r="L5" s="22" t="str">
        <f>IF(K5="",E5,K5)</f>
        <v>Amit</v>
      </c>
      <c r="M5" s="33"/>
      <c r="N5" s="33"/>
      <c r="O5" s="33"/>
      <c r="P5" s="28" t="s">
        <v>11</v>
      </c>
      <c r="Q5" s="35">
        <v>52</v>
      </c>
      <c r="R5" s="33"/>
      <c r="S5" s="28" t="s">
        <v>411</v>
      </c>
      <c r="T5" s="28"/>
      <c r="U5" s="35">
        <v>9</v>
      </c>
      <c r="V5" s="33"/>
    </row>
    <row r="6" spans="1:22">
      <c r="A6" s="26">
        <v>45718</v>
      </c>
      <c r="B6" s="6" t="s">
        <v>18</v>
      </c>
      <c r="C6" s="6" t="s">
        <v>19</v>
      </c>
      <c r="D6" s="6" t="s">
        <v>11</v>
      </c>
      <c r="E6" s="6" t="s">
        <v>20</v>
      </c>
      <c r="F6" s="7">
        <v>23</v>
      </c>
      <c r="G6" s="7">
        <v>25000</v>
      </c>
      <c r="H6" s="7">
        <v>575000</v>
      </c>
      <c r="I6" s="16" t="str">
        <f>IF(D6="",$P$5,"")</f>
        <v/>
      </c>
      <c r="J6" s="6" t="str">
        <f>IF(I6="",D6,I6)</f>
        <v>South</v>
      </c>
      <c r="K6" s="6" t="str" cm="1">
        <f t="array" ref="K6">_xlfn.IFS(AND(J6=$S$6,E6=""),$T$6,AND(J6=$S$17,E6=""),$T$17,AND(J6=$S$29,E6=""),$T$29,AND(J6=$S$41,E6=""),$T$41,TRUE,"")</f>
        <v/>
      </c>
      <c r="L6" s="22" t="str">
        <f>IF(K6="",E6,K6)</f>
        <v>Sonia</v>
      </c>
      <c r="M6" s="33"/>
      <c r="N6" s="33"/>
      <c r="O6" s="33"/>
      <c r="P6" s="28" t="s">
        <v>29</v>
      </c>
      <c r="Q6" s="35">
        <v>50</v>
      </c>
      <c r="R6" s="33"/>
      <c r="S6" s="28" t="s">
        <v>29</v>
      </c>
      <c r="T6" s="28" t="s">
        <v>38</v>
      </c>
      <c r="U6" s="35">
        <v>10</v>
      </c>
      <c r="V6" s="33"/>
    </row>
    <row r="7" spans="1:22">
      <c r="A7" s="26">
        <v>45693</v>
      </c>
      <c r="B7" s="6" t="s">
        <v>22</v>
      </c>
      <c r="C7" s="6" t="s">
        <v>23</v>
      </c>
      <c r="D7" s="6" t="s">
        <v>24</v>
      </c>
      <c r="E7" s="6" t="s">
        <v>25</v>
      </c>
      <c r="F7" s="7">
        <v>6</v>
      </c>
      <c r="G7" s="7">
        <v>800</v>
      </c>
      <c r="H7" s="7">
        <v>4800</v>
      </c>
      <c r="I7" s="16" t="str">
        <f>IF(D7="",$P$5,"")</f>
        <v/>
      </c>
      <c r="J7" s="6" t="str">
        <f>IF(I7="",D7,I7)</f>
        <v>North</v>
      </c>
      <c r="K7" s="6" t="str" cm="1">
        <f t="array" ref="K7">_xlfn.IFS(AND(J7=$S$6,E7=""),$T$6,AND(J7=$S$17,E7=""),$T$17,AND(J7=$S$29,E7=""),$T$29,AND(J7=$S$41,E7=""),$T$41,TRUE,"")</f>
        <v/>
      </c>
      <c r="L7" s="22" t="str">
        <f>IF(K7="",E7,K7)</f>
        <v>Neha</v>
      </c>
      <c r="M7" s="33"/>
      <c r="N7" s="33"/>
      <c r="O7" s="33"/>
      <c r="P7" s="28" t="s">
        <v>24</v>
      </c>
      <c r="Q7" s="35">
        <v>45</v>
      </c>
      <c r="R7" s="33"/>
      <c r="S7" s="28"/>
      <c r="T7" s="28" t="s">
        <v>46</v>
      </c>
      <c r="U7" s="35">
        <v>6</v>
      </c>
      <c r="V7" s="33"/>
    </row>
    <row r="8" spans="1:22">
      <c r="A8" s="26">
        <v>45706</v>
      </c>
      <c r="B8" s="6" t="s">
        <v>27</v>
      </c>
      <c r="C8" s="6" t="s">
        <v>23</v>
      </c>
      <c r="D8" s="6" t="s">
        <v>29</v>
      </c>
      <c r="E8" s="6" t="s">
        <v>30</v>
      </c>
      <c r="F8" s="7">
        <v>45</v>
      </c>
      <c r="G8" s="7">
        <v>30000</v>
      </c>
      <c r="H8" s="7">
        <v>1350000</v>
      </c>
      <c r="I8" s="16" t="str">
        <f>IF(D8="",$P$5,"")</f>
        <v/>
      </c>
      <c r="J8" s="6" t="str">
        <f>IF(I8="",D8,I8)</f>
        <v>East</v>
      </c>
      <c r="K8" s="6" t="str" cm="1">
        <f t="array" ref="K8">_xlfn.IFS(AND(J8=$S$6,E8=""),$T$6,AND(J8=$S$17,E8=""),$T$17,AND(J8=$S$29,E8=""),$T$29,AND(J8=$S$41,E8=""),$T$41,TRUE,"")</f>
        <v/>
      </c>
      <c r="L8" s="22" t="str">
        <f>IF(K8="",E8,K8)</f>
        <v>Riya</v>
      </c>
      <c r="M8" s="33"/>
      <c r="N8" s="33"/>
      <c r="O8" s="33"/>
      <c r="P8" s="28" t="s">
        <v>51</v>
      </c>
      <c r="Q8" s="35">
        <v>44</v>
      </c>
      <c r="R8" s="33"/>
      <c r="S8" s="28"/>
      <c r="T8" s="28" t="s">
        <v>61</v>
      </c>
      <c r="U8" s="35">
        <v>6</v>
      </c>
      <c r="V8" s="33"/>
    </row>
    <row r="9" spans="1:22">
      <c r="A9" s="26">
        <v>45708</v>
      </c>
      <c r="B9" s="6" t="s">
        <v>32</v>
      </c>
      <c r="C9" s="6" t="s">
        <v>15</v>
      </c>
      <c r="D9" s="6" t="s">
        <v>24</v>
      </c>
      <c r="E9" s="6" t="s">
        <v>33</v>
      </c>
      <c r="F9" s="7">
        <v>23</v>
      </c>
      <c r="G9" s="7">
        <v>1200</v>
      </c>
      <c r="H9" s="7">
        <v>27600</v>
      </c>
      <c r="I9" s="16" t="str">
        <f>IF(D9="",$P$5,"")</f>
        <v/>
      </c>
      <c r="J9" s="6" t="str">
        <f>IF(I9="",D9,I9)</f>
        <v>North</v>
      </c>
      <c r="K9" s="6" t="str" cm="1">
        <f t="array" ref="K9">_xlfn.IFS(AND(J9=$S$6,E9=""),$T$6,AND(J9=$S$17,E9=""),$T$17,AND(J9=$S$29,E9=""),$T$29,AND(J9=$S$41,E9=""),$T$41,TRUE,"")</f>
        <v/>
      </c>
      <c r="L9" s="22" t="str">
        <f>IF(K9="",E9,K9)</f>
        <v>Karan</v>
      </c>
      <c r="M9" s="33"/>
      <c r="N9" s="33"/>
      <c r="O9" s="33"/>
      <c r="P9" s="28"/>
      <c r="Q9" s="35">
        <v>9</v>
      </c>
      <c r="R9" s="33"/>
      <c r="S9" s="28"/>
      <c r="T9" s="28" t="s">
        <v>16</v>
      </c>
      <c r="U9" s="35">
        <v>5</v>
      </c>
      <c r="V9" s="33"/>
    </row>
    <row r="10" spans="1:22">
      <c r="A10" s="26">
        <v>45814</v>
      </c>
      <c r="B10" s="6" t="s">
        <v>35</v>
      </c>
      <c r="C10" s="6" t="s">
        <v>19</v>
      </c>
      <c r="D10" s="6" t="s">
        <v>11</v>
      </c>
      <c r="E10" s="32"/>
      <c r="F10" s="7">
        <v>16</v>
      </c>
      <c r="G10" s="7">
        <v>800</v>
      </c>
      <c r="H10" s="7">
        <v>12800</v>
      </c>
      <c r="I10" s="16" t="str">
        <f>IF(D10="",$P$5,"")</f>
        <v/>
      </c>
      <c r="J10" s="6" t="str">
        <f>IF(I10="",D10,I10)</f>
        <v>South</v>
      </c>
      <c r="K10" s="6" t="str" cm="1">
        <f t="array" ref="K10">_xlfn.IFS(AND(J10=$S$6,E10=""),$T$6,AND(J10=$S$17,E10=""),$T$17,AND(J10=$S$29,E10=""),$T$29,AND(J10=$S$41,E10=""),$T$41,TRUE,"")</f>
        <v>Sonia</v>
      </c>
      <c r="L10" s="22" t="str">
        <f>IF(K10="",E10,K10)</f>
        <v>Sonia</v>
      </c>
      <c r="M10" s="33"/>
      <c r="N10" s="33"/>
      <c r="O10" s="33"/>
      <c r="P10" s="28" t="s">
        <v>422</v>
      </c>
      <c r="Q10" s="35">
        <v>200</v>
      </c>
      <c r="R10" s="33"/>
      <c r="S10" s="28"/>
      <c r="T10" s="28" t="s">
        <v>33</v>
      </c>
      <c r="U10" s="35">
        <v>5</v>
      </c>
      <c r="V10" s="33"/>
    </row>
    <row r="11" spans="1:22">
      <c r="A11" s="26">
        <v>45751</v>
      </c>
      <c r="B11" s="6" t="s">
        <v>37</v>
      </c>
      <c r="C11" s="6" t="s">
        <v>23</v>
      </c>
      <c r="D11" s="6" t="s">
        <v>24</v>
      </c>
      <c r="E11" s="6" t="s">
        <v>38</v>
      </c>
      <c r="F11" s="7">
        <v>50</v>
      </c>
      <c r="G11" s="7">
        <v>50000</v>
      </c>
      <c r="H11" s="7">
        <v>2500000</v>
      </c>
      <c r="I11" s="16" t="str">
        <f>IF(D11="",$P$5,"")</f>
        <v/>
      </c>
      <c r="J11" s="6" t="str">
        <f>IF(I11="",D11,I11)</f>
        <v>North</v>
      </c>
      <c r="K11" s="6" t="str" cm="1">
        <f t="array" ref="K11">_xlfn.IFS(AND(J11=$S$6,E11=""),$T$6,AND(J11=$S$17,E11=""),$T$17,AND(J11=$S$29,E11=""),$T$29,AND(J11=$S$41,E11=""),$T$41,TRUE,"")</f>
        <v/>
      </c>
      <c r="L11" s="22" t="str">
        <f>IF(K11="",E11,K11)</f>
        <v>Tina</v>
      </c>
      <c r="M11" s="33"/>
      <c r="N11" s="33"/>
      <c r="O11" s="33"/>
      <c r="P11" s="33"/>
      <c r="Q11" s="33"/>
      <c r="R11" s="33"/>
      <c r="S11" s="28"/>
      <c r="T11" s="28" t="s">
        <v>12</v>
      </c>
      <c r="U11" s="35">
        <v>5</v>
      </c>
      <c r="V11" s="33"/>
    </row>
    <row r="12" spans="1:22">
      <c r="A12" s="26">
        <v>45661</v>
      </c>
      <c r="B12" s="6" t="s">
        <v>40</v>
      </c>
      <c r="C12" s="6" t="s">
        <v>15</v>
      </c>
      <c r="D12" s="6" t="s">
        <v>24</v>
      </c>
      <c r="E12" s="6" t="s">
        <v>20</v>
      </c>
      <c r="F12" s="7">
        <v>37</v>
      </c>
      <c r="G12" s="7">
        <v>15000</v>
      </c>
      <c r="H12" s="7">
        <v>555000</v>
      </c>
      <c r="I12" s="16" t="str">
        <f>IF(D12="",$P$5,"")</f>
        <v/>
      </c>
      <c r="J12" s="6" t="str">
        <f>IF(I12="",D12,I12)</f>
        <v>North</v>
      </c>
      <c r="K12" s="6" t="str" cm="1">
        <f t="array" ref="K12">_xlfn.IFS(AND(J12=$S$6,E12=""),$T$6,AND(J12=$S$17,E12=""),$T$17,AND(J12=$S$29,E12=""),$T$29,AND(J12=$S$41,E12=""),$T$41,TRUE,"")</f>
        <v/>
      </c>
      <c r="L12" s="22" t="str">
        <f>IF(K12="",E12,K12)</f>
        <v>Sonia</v>
      </c>
      <c r="M12" s="33"/>
      <c r="N12" s="33"/>
      <c r="O12" s="33"/>
      <c r="P12" s="33"/>
      <c r="Q12" s="33"/>
      <c r="R12" s="33"/>
      <c r="S12" s="28"/>
      <c r="T12" s="28" t="s">
        <v>30</v>
      </c>
      <c r="U12" s="35">
        <v>4</v>
      </c>
      <c r="V12" s="33"/>
    </row>
    <row r="13" spans="1:22">
      <c r="A13" s="26">
        <v>45844</v>
      </c>
      <c r="B13" s="6" t="s">
        <v>43</v>
      </c>
      <c r="C13" s="6" t="s">
        <v>10</v>
      </c>
      <c r="D13" s="6" t="s">
        <v>11</v>
      </c>
      <c r="E13" s="6" t="s">
        <v>25</v>
      </c>
      <c r="F13" s="7">
        <v>40</v>
      </c>
      <c r="G13" s="7">
        <v>800</v>
      </c>
      <c r="H13" s="7">
        <v>32000</v>
      </c>
      <c r="I13" s="16" t="str">
        <f>IF(D13="",$P$5,"")</f>
        <v/>
      </c>
      <c r="J13" s="6" t="str">
        <f>IF(I13="",D13,I13)</f>
        <v>South</v>
      </c>
      <c r="K13" s="6" t="str" cm="1">
        <f t="array" ref="K13">_xlfn.IFS(AND(J13=$S$6,E13=""),$T$6,AND(J13=$S$17,E13=""),$T$17,AND(J13=$S$29,E13=""),$T$29,AND(J13=$S$41,E13=""),$T$41,TRUE,"")</f>
        <v/>
      </c>
      <c r="L13" s="22" t="str">
        <f>IF(K13="",E13,K13)</f>
        <v>Neha</v>
      </c>
      <c r="M13" s="33"/>
      <c r="N13" s="33"/>
      <c r="O13" s="33"/>
      <c r="P13" s="33"/>
      <c r="Q13" s="33"/>
      <c r="R13" s="33"/>
      <c r="S13" s="28"/>
      <c r="T13" s="28" t="s">
        <v>20</v>
      </c>
      <c r="U13" s="35">
        <v>4</v>
      </c>
      <c r="V13" s="33"/>
    </row>
    <row r="14" spans="1:22">
      <c r="A14" s="26">
        <v>45731</v>
      </c>
      <c r="B14" s="6" t="s">
        <v>45</v>
      </c>
      <c r="C14" s="6" t="s">
        <v>23</v>
      </c>
      <c r="D14" s="6" t="s">
        <v>29</v>
      </c>
      <c r="E14" s="6" t="s">
        <v>46</v>
      </c>
      <c r="F14" s="7">
        <v>41</v>
      </c>
      <c r="G14" s="7">
        <v>800</v>
      </c>
      <c r="H14" s="7">
        <v>32800</v>
      </c>
      <c r="I14" s="16" t="str">
        <f>IF(D14="",$P$5,"")</f>
        <v/>
      </c>
      <c r="J14" s="6" t="str">
        <f>IF(I14="",D14,I14)</f>
        <v>East</v>
      </c>
      <c r="K14" s="6" t="str" cm="1">
        <f t="array" ref="K14">_xlfn.IFS(AND(J14=$S$6,E14=""),$T$6,AND(J14=$S$17,E14=""),$T$17,AND(J14=$S$29,E14=""),$T$29,AND(J14=$S$41,E14=""),$T$41,TRUE,"")</f>
        <v/>
      </c>
      <c r="L14" s="22" t="str">
        <f>IF(K14="",E14,K14)</f>
        <v>Manish</v>
      </c>
      <c r="M14" s="33"/>
      <c r="N14" s="33"/>
      <c r="O14" s="33"/>
      <c r="P14" s="33"/>
      <c r="Q14" s="33"/>
      <c r="R14" s="33"/>
      <c r="S14" s="28"/>
      <c r="T14" s="28" t="s">
        <v>25</v>
      </c>
      <c r="U14" s="35">
        <v>3</v>
      </c>
      <c r="V14" s="33"/>
    </row>
    <row r="15" spans="1:22">
      <c r="A15" s="26">
        <v>45772</v>
      </c>
      <c r="B15" s="6" t="s">
        <v>48</v>
      </c>
      <c r="C15" s="6" t="s">
        <v>15</v>
      </c>
      <c r="D15" s="6" t="s">
        <v>29</v>
      </c>
      <c r="E15" s="6" t="s">
        <v>46</v>
      </c>
      <c r="F15" s="7">
        <v>27</v>
      </c>
      <c r="G15" s="7">
        <v>50000</v>
      </c>
      <c r="H15" s="7">
        <v>1350000</v>
      </c>
      <c r="I15" s="16" t="str">
        <f>IF(D15="",$P$5,"")</f>
        <v/>
      </c>
      <c r="J15" s="6" t="str">
        <f>IF(I15="",D15,I15)</f>
        <v>East</v>
      </c>
      <c r="K15" s="6" t="str" cm="1">
        <f t="array" ref="K15">_xlfn.IFS(AND(J15=$S$6,E15=""),$T$6,AND(J15=$S$17,E15=""),$T$17,AND(J15=$S$29,E15=""),$T$29,AND(J15=$S$41,E15=""),$T$41,TRUE,"")</f>
        <v/>
      </c>
      <c r="L15" s="22" t="str">
        <f>IF(K15="",E15,K15)</f>
        <v>Manish</v>
      </c>
      <c r="M15" s="33"/>
      <c r="N15" s="33"/>
      <c r="O15" s="33"/>
      <c r="P15" s="33"/>
      <c r="Q15" s="33"/>
      <c r="R15" s="33"/>
      <c r="S15" s="28"/>
      <c r="T15" s="28" t="s">
        <v>72</v>
      </c>
      <c r="U15" s="35">
        <v>2</v>
      </c>
      <c r="V15" s="33"/>
    </row>
    <row r="16" spans="1:22">
      <c r="A16" s="26">
        <v>45742</v>
      </c>
      <c r="B16" s="6" t="s">
        <v>50</v>
      </c>
      <c r="C16" s="6" t="s">
        <v>15</v>
      </c>
      <c r="D16" s="6" t="s">
        <v>51</v>
      </c>
      <c r="E16" s="6" t="s">
        <v>38</v>
      </c>
      <c r="F16" s="7">
        <v>32</v>
      </c>
      <c r="G16" s="7">
        <v>25000</v>
      </c>
      <c r="H16" s="7">
        <v>799549</v>
      </c>
      <c r="I16" s="16" t="str">
        <f>IF(D16="",$P$5,"")</f>
        <v/>
      </c>
      <c r="J16" s="6" t="str">
        <f>IF(I16="",D16,I16)</f>
        <v>West</v>
      </c>
      <c r="K16" s="6" t="str" cm="1">
        <f t="array" ref="K16">_xlfn.IFS(AND(J16=$S$6,E16=""),$T$6,AND(J16=$S$17,E16=""),$T$17,AND(J16=$S$29,E16=""),$T$29,AND(J16=$S$41,E16=""),$T$41,TRUE,"")</f>
        <v/>
      </c>
      <c r="L16" s="22" t="str">
        <f>IF(K16="",E16,K16)</f>
        <v>Tina</v>
      </c>
      <c r="M16" s="33"/>
      <c r="N16" s="33"/>
      <c r="O16" s="33"/>
      <c r="P16" s="33"/>
      <c r="Q16" s="33"/>
      <c r="R16" s="33"/>
      <c r="S16" s="28" t="s">
        <v>423</v>
      </c>
      <c r="T16" s="28"/>
      <c r="U16" s="35">
        <v>50</v>
      </c>
      <c r="V16" s="33"/>
    </row>
    <row r="17" spans="1:22">
      <c r="A17" s="26">
        <v>45706</v>
      </c>
      <c r="B17" s="6" t="s">
        <v>53</v>
      </c>
      <c r="C17" s="6" t="s">
        <v>15</v>
      </c>
      <c r="D17" s="6" t="s">
        <v>24</v>
      </c>
      <c r="E17" s="6" t="s">
        <v>38</v>
      </c>
      <c r="F17" s="7">
        <v>12</v>
      </c>
      <c r="G17" s="7">
        <v>30000</v>
      </c>
      <c r="H17" s="7">
        <v>360000</v>
      </c>
      <c r="I17" s="16" t="str">
        <f>IF(D17="",$P$5,"")</f>
        <v/>
      </c>
      <c r="J17" s="6" t="str">
        <f>IF(I17="",D17,I17)</f>
        <v>North</v>
      </c>
      <c r="K17" s="6" t="str" cm="1">
        <f t="array" ref="K17">_xlfn.IFS(AND(J17=$S$6,E17=""),$T$6,AND(J17=$S$17,E17=""),$T$17,AND(J17=$S$29,E17=""),$T$29,AND(J17=$S$41,E17=""),$T$41,TRUE,"")</f>
        <v/>
      </c>
      <c r="L17" s="22" t="str">
        <f>IF(K17="",E17,K17)</f>
        <v>Tina</v>
      </c>
      <c r="M17" s="33"/>
      <c r="N17" s="33"/>
      <c r="O17" s="33"/>
      <c r="P17" s="33"/>
      <c r="Q17" s="33"/>
      <c r="R17" s="33"/>
      <c r="S17" s="28" t="s">
        <v>24</v>
      </c>
      <c r="T17" s="28" t="s">
        <v>38</v>
      </c>
      <c r="U17" s="35">
        <v>9</v>
      </c>
      <c r="V17" s="33"/>
    </row>
    <row r="18" spans="1:22">
      <c r="A18" s="26">
        <v>45808</v>
      </c>
      <c r="B18" s="6" t="s">
        <v>56</v>
      </c>
      <c r="C18" s="6" t="s">
        <v>10</v>
      </c>
      <c r="D18" s="6" t="s">
        <v>51</v>
      </c>
      <c r="E18" s="6" t="s">
        <v>25</v>
      </c>
      <c r="F18" s="7">
        <v>26</v>
      </c>
      <c r="G18" s="7">
        <v>25000</v>
      </c>
      <c r="H18" s="7">
        <v>650000</v>
      </c>
      <c r="I18" s="16" t="str">
        <f>IF(D18="",$P$5,"")</f>
        <v/>
      </c>
      <c r="J18" s="6" t="str">
        <f>IF(I18="",D18,I18)</f>
        <v>West</v>
      </c>
      <c r="K18" s="6" t="str" cm="1">
        <f t="array" ref="K18">_xlfn.IFS(AND(J18=$S$6,E18=""),$T$6,AND(J18=$S$17,E18=""),$T$17,AND(J18=$S$29,E18=""),$T$29,AND(J18=$S$41,E18=""),$T$41,TRUE,"")</f>
        <v/>
      </c>
      <c r="L18" s="22" t="str">
        <f>IF(K18="",E18,K18)</f>
        <v>Neha</v>
      </c>
      <c r="M18" s="33"/>
      <c r="N18" s="33"/>
      <c r="O18" s="33"/>
      <c r="P18" s="33"/>
      <c r="Q18" s="33"/>
      <c r="R18" s="33"/>
      <c r="S18" s="28"/>
      <c r="T18" s="28" t="s">
        <v>30</v>
      </c>
      <c r="U18" s="35">
        <v>7</v>
      </c>
      <c r="V18" s="33"/>
    </row>
    <row r="19" spans="1:22">
      <c r="A19" s="26">
        <v>45771</v>
      </c>
      <c r="B19" s="6" t="s">
        <v>60</v>
      </c>
      <c r="C19" s="6" t="s">
        <v>15</v>
      </c>
      <c r="D19" s="6" t="s">
        <v>29</v>
      </c>
      <c r="E19" s="6" t="s">
        <v>61</v>
      </c>
      <c r="F19" s="7">
        <v>41</v>
      </c>
      <c r="G19" s="7">
        <v>50000</v>
      </c>
      <c r="H19" s="7">
        <v>2050000</v>
      </c>
      <c r="I19" s="16" t="str">
        <f>IF(D19="",$P$5,"")</f>
        <v/>
      </c>
      <c r="J19" s="6" t="str">
        <f>IF(I19="",D19,I19)</f>
        <v>East</v>
      </c>
      <c r="K19" s="6" t="str" cm="1">
        <f t="array" ref="K19">_xlfn.IFS(AND(J19=$S$6,E19=""),$T$6,AND(J19=$S$17,E19=""),$T$17,AND(J19=$S$29,E19=""),$T$29,AND(J19=$S$41,E19=""),$T$41,TRUE,"")</f>
        <v/>
      </c>
      <c r="L19" s="22" t="str">
        <f>IF(K19="",E19,K19)</f>
        <v>Priya</v>
      </c>
      <c r="M19" s="33"/>
      <c r="N19" s="33"/>
      <c r="O19" s="33"/>
      <c r="P19" s="33"/>
      <c r="Q19" s="33"/>
      <c r="R19" s="33"/>
      <c r="S19" s="28"/>
      <c r="T19" s="28" t="s">
        <v>12</v>
      </c>
      <c r="U19" s="35">
        <v>5</v>
      </c>
      <c r="V19" s="33"/>
    </row>
    <row r="20" spans="1:22">
      <c r="A20" s="26">
        <v>45870</v>
      </c>
      <c r="B20" s="6" t="s">
        <v>63</v>
      </c>
      <c r="C20" s="6" t="s">
        <v>15</v>
      </c>
      <c r="D20" s="6" t="s">
        <v>51</v>
      </c>
      <c r="E20" s="6" t="s">
        <v>38</v>
      </c>
      <c r="F20" s="7">
        <v>31</v>
      </c>
      <c r="G20" s="7">
        <v>1200</v>
      </c>
      <c r="H20" s="7">
        <v>37200</v>
      </c>
      <c r="I20" s="16" t="str">
        <f>IF(D20="",$P$5,"")</f>
        <v/>
      </c>
      <c r="J20" s="6" t="str">
        <f>IF(I20="",D20,I20)</f>
        <v>West</v>
      </c>
      <c r="K20" s="6" t="str" cm="1">
        <f t="array" ref="K20">_xlfn.IFS(AND(J20=$S$6,E20=""),$T$6,AND(J20=$S$17,E20=""),$T$17,AND(J20=$S$29,E20=""),$T$29,AND(J20=$S$41,E20=""),$T$41,TRUE,"")</f>
        <v/>
      </c>
      <c r="L20" s="22" t="str">
        <f>IF(K20="",E20,K20)</f>
        <v>Tina</v>
      </c>
      <c r="M20" s="33"/>
      <c r="N20" s="33"/>
      <c r="O20" s="33"/>
      <c r="P20" s="33"/>
      <c r="Q20" s="33"/>
      <c r="R20" s="33"/>
      <c r="S20" s="28"/>
      <c r="T20" s="28" t="s">
        <v>20</v>
      </c>
      <c r="U20" s="35">
        <v>5</v>
      </c>
      <c r="V20" s="33"/>
    </row>
    <row r="21" spans="1:22">
      <c r="A21" s="26">
        <v>45737</v>
      </c>
      <c r="B21" s="6" t="s">
        <v>65</v>
      </c>
      <c r="C21" s="6" t="s">
        <v>23</v>
      </c>
      <c r="D21" s="6" t="s">
        <v>29</v>
      </c>
      <c r="E21" s="6" t="s">
        <v>12</v>
      </c>
      <c r="F21" s="7">
        <v>32</v>
      </c>
      <c r="G21" s="7">
        <v>1200</v>
      </c>
      <c r="H21" s="7">
        <v>38400</v>
      </c>
      <c r="I21" s="16" t="str">
        <f>IF(D21="",$P$5,"")</f>
        <v/>
      </c>
      <c r="J21" s="6" t="str">
        <f>IF(I21="",D21,I21)</f>
        <v>East</v>
      </c>
      <c r="K21" s="6" t="str" cm="1">
        <f t="array" ref="K21">_xlfn.IFS(AND(J21=$S$6,E21=""),$T$6,AND(J21=$S$17,E21=""),$T$17,AND(J21=$S$29,E21=""),$T$29,AND(J21=$S$41,E21=""),$T$41,TRUE,"")</f>
        <v/>
      </c>
      <c r="L21" s="22" t="str">
        <f>IF(K21="",E21,K21)</f>
        <v>Rohit</v>
      </c>
      <c r="M21" s="33"/>
      <c r="N21" s="33"/>
      <c r="O21" s="33"/>
      <c r="P21" s="33"/>
      <c r="Q21" s="33"/>
      <c r="R21" s="33"/>
      <c r="S21" s="28"/>
      <c r="T21" s="28" t="s">
        <v>33</v>
      </c>
      <c r="U21" s="35">
        <v>5</v>
      </c>
      <c r="V21" s="33"/>
    </row>
    <row r="22" spans="1:22">
      <c r="A22" s="26">
        <v>45729</v>
      </c>
      <c r="B22" s="6" t="s">
        <v>67</v>
      </c>
      <c r="C22" s="6" t="s">
        <v>15</v>
      </c>
      <c r="D22" s="6" t="s">
        <v>24</v>
      </c>
      <c r="E22" s="6" t="s">
        <v>61</v>
      </c>
      <c r="F22" s="7">
        <v>24</v>
      </c>
      <c r="G22" s="7">
        <v>50000</v>
      </c>
      <c r="H22" s="7">
        <v>1200000</v>
      </c>
      <c r="I22" s="16" t="str">
        <f>IF(D22="",$P$5,"")</f>
        <v/>
      </c>
      <c r="J22" s="6" t="str">
        <f>IF(I22="",D22,I22)</f>
        <v>North</v>
      </c>
      <c r="K22" s="6" t="str" cm="1">
        <f t="array" ref="K22">_xlfn.IFS(AND(J22=$S$6,E22=""),$T$6,AND(J22=$S$17,E22=""),$T$17,AND(J22=$S$29,E22=""),$T$29,AND(J22=$S$41,E22=""),$T$41,TRUE,"")</f>
        <v/>
      </c>
      <c r="L22" s="22" t="str">
        <f>IF(K22="",E22,K22)</f>
        <v>Priya</v>
      </c>
      <c r="M22" s="33"/>
      <c r="N22" s="33"/>
      <c r="O22" s="33"/>
      <c r="P22" s="33"/>
      <c r="Q22" s="33"/>
      <c r="R22" s="33"/>
      <c r="S22" s="28"/>
      <c r="T22" s="28" t="s">
        <v>16</v>
      </c>
      <c r="U22" s="35">
        <v>4</v>
      </c>
      <c r="V22" s="33"/>
    </row>
    <row r="23" spans="1:22">
      <c r="A23" s="26">
        <v>45801</v>
      </c>
      <c r="B23" s="6" t="s">
        <v>69</v>
      </c>
      <c r="C23" s="6" t="s">
        <v>19</v>
      </c>
      <c r="D23" s="6" t="s">
        <v>29</v>
      </c>
      <c r="E23" s="6" t="s">
        <v>25</v>
      </c>
      <c r="F23" s="7">
        <v>31</v>
      </c>
      <c r="G23" s="7">
        <v>50000</v>
      </c>
      <c r="H23" s="7">
        <v>1550000</v>
      </c>
      <c r="I23" s="16" t="str">
        <f>IF(D23="",$P$5,"")</f>
        <v/>
      </c>
      <c r="J23" s="6" t="str">
        <f>IF(I23="",D23,I23)</f>
        <v>East</v>
      </c>
      <c r="K23" s="6" t="str" cm="1">
        <f t="array" ref="K23">_xlfn.IFS(AND(J23=$S$6,E23=""),$T$6,AND(J23=$S$17,E23=""),$T$17,AND(J23=$S$29,E23=""),$T$29,AND(J23=$S$41,E23=""),$T$41,TRUE,"")</f>
        <v/>
      </c>
      <c r="L23" s="22" t="str">
        <f>IF(K23="",E23,K23)</f>
        <v>Neha</v>
      </c>
      <c r="M23" s="33"/>
      <c r="N23" s="33"/>
      <c r="O23" s="33"/>
      <c r="P23" s="33"/>
      <c r="Q23" s="33"/>
      <c r="R23" s="33"/>
      <c r="S23" s="28"/>
      <c r="T23" s="28" t="s">
        <v>61</v>
      </c>
      <c r="U23" s="35">
        <v>4</v>
      </c>
      <c r="V23" s="33"/>
    </row>
    <row r="24" spans="1:22">
      <c r="A24" s="26">
        <v>45817</v>
      </c>
      <c r="B24" s="6" t="s">
        <v>71</v>
      </c>
      <c r="C24" s="6" t="s">
        <v>15</v>
      </c>
      <c r="D24" s="6" t="s">
        <v>11</v>
      </c>
      <c r="E24" s="6" t="s">
        <v>72</v>
      </c>
      <c r="F24" s="7">
        <v>7</v>
      </c>
      <c r="G24" s="7">
        <v>15000</v>
      </c>
      <c r="H24" s="7">
        <v>105000</v>
      </c>
      <c r="I24" s="16" t="str">
        <f>IF(D24="",$P$5,"")</f>
        <v/>
      </c>
      <c r="J24" s="6" t="str">
        <f>IF(I24="",D24,I24)</f>
        <v>South</v>
      </c>
      <c r="K24" s="6" t="str" cm="1">
        <f t="array" ref="K24">_xlfn.IFS(AND(J24=$S$6,E24=""),$T$6,AND(J24=$S$17,E24=""),$T$17,AND(J24=$S$29,E24=""),$T$29,AND(J24=$S$41,E24=""),$T$41,TRUE,"")</f>
        <v/>
      </c>
      <c r="L24" s="22" t="str">
        <f>IF(K24="",E24,K24)</f>
        <v>Vivek</v>
      </c>
      <c r="M24" s="33"/>
      <c r="N24" s="33"/>
      <c r="O24" s="33"/>
      <c r="P24" s="33"/>
      <c r="Q24" s="33"/>
      <c r="R24" s="33"/>
      <c r="S24" s="28"/>
      <c r="T24" s="28" t="s">
        <v>72</v>
      </c>
      <c r="U24" s="35">
        <v>2</v>
      </c>
      <c r="V24" s="33"/>
    </row>
    <row r="25" spans="1:22">
      <c r="A25" s="26">
        <v>45824</v>
      </c>
      <c r="B25" s="6" t="s">
        <v>74</v>
      </c>
      <c r="C25" s="6" t="s">
        <v>15</v>
      </c>
      <c r="D25" s="6" t="s">
        <v>29</v>
      </c>
      <c r="E25" s="6" t="s">
        <v>25</v>
      </c>
      <c r="F25" s="7">
        <v>35</v>
      </c>
      <c r="G25" s="7">
        <v>800</v>
      </c>
      <c r="H25" s="7">
        <v>28000</v>
      </c>
      <c r="I25" s="16" t="str">
        <f>IF(D25="",$P$5,"")</f>
        <v/>
      </c>
      <c r="J25" s="6" t="str">
        <f>IF(I25="",D25,I25)</f>
        <v>East</v>
      </c>
      <c r="K25" s="6" t="str" cm="1">
        <f t="array" ref="K25">_xlfn.IFS(AND(J25=$S$6,E25=""),$T$6,AND(J25=$S$17,E25=""),$T$17,AND(J25=$S$29,E25=""),$T$29,AND(J25=$S$41,E25=""),$T$41,TRUE,"")</f>
        <v/>
      </c>
      <c r="L25" s="22" t="str">
        <f>IF(K25="",E25,K25)</f>
        <v>Neha</v>
      </c>
      <c r="M25" s="33"/>
      <c r="N25" s="33"/>
      <c r="O25" s="33"/>
      <c r="P25" s="33"/>
      <c r="Q25" s="33"/>
      <c r="R25" s="33"/>
      <c r="S25" s="28"/>
      <c r="T25" s="28" t="s">
        <v>46</v>
      </c>
      <c r="U25" s="35">
        <v>2</v>
      </c>
      <c r="V25" s="33"/>
    </row>
    <row r="26" spans="1:22">
      <c r="A26" s="26">
        <v>45827</v>
      </c>
      <c r="B26" s="6" t="s">
        <v>76</v>
      </c>
      <c r="C26" s="6" t="s">
        <v>19</v>
      </c>
      <c r="D26" s="6" t="s">
        <v>51</v>
      </c>
      <c r="E26" s="6" t="s">
        <v>38</v>
      </c>
      <c r="F26" s="7">
        <v>18</v>
      </c>
      <c r="G26" s="7">
        <v>1200</v>
      </c>
      <c r="H26" s="7">
        <v>21600</v>
      </c>
      <c r="I26" s="16" t="str">
        <f>IF(D26="",$P$5,"")</f>
        <v/>
      </c>
      <c r="J26" s="6" t="str">
        <f>IF(I26="",D26,I26)</f>
        <v>West</v>
      </c>
      <c r="K26" s="6" t="str" cm="1">
        <f t="array" ref="K26">_xlfn.IFS(AND(J26=$S$6,E26=""),$T$6,AND(J26=$S$17,E26=""),$T$17,AND(J26=$S$29,E26=""),$T$29,AND(J26=$S$41,E26=""),$T$41,TRUE,"")</f>
        <v/>
      </c>
      <c r="L26" s="22" t="str">
        <f>IF(K26="",E26,K26)</f>
        <v>Tina</v>
      </c>
      <c r="M26" s="33"/>
      <c r="N26" s="33"/>
      <c r="O26" s="33"/>
      <c r="P26" s="33"/>
      <c r="Q26" s="33"/>
      <c r="R26" s="33"/>
      <c r="S26" s="28"/>
      <c r="T26" s="28" t="s">
        <v>25</v>
      </c>
      <c r="U26" s="35">
        <v>1</v>
      </c>
      <c r="V26" s="33"/>
    </row>
    <row r="27" spans="1:22">
      <c r="A27" s="26">
        <v>45697</v>
      </c>
      <c r="B27" s="6" t="s">
        <v>78</v>
      </c>
      <c r="C27" s="6" t="s">
        <v>23</v>
      </c>
      <c r="D27" s="6" t="s">
        <v>51</v>
      </c>
      <c r="E27" s="6" t="s">
        <v>38</v>
      </c>
      <c r="F27" s="7">
        <v>45</v>
      </c>
      <c r="G27" s="7">
        <v>25000</v>
      </c>
      <c r="H27" s="7">
        <v>1125000</v>
      </c>
      <c r="I27" s="16" t="str">
        <f>IF(D27="",$P$5,"")</f>
        <v/>
      </c>
      <c r="J27" s="6" t="str">
        <f>IF(I27="",D27,I27)</f>
        <v>West</v>
      </c>
      <c r="K27" s="6" t="str" cm="1">
        <f t="array" ref="K27">_xlfn.IFS(AND(J27=$S$6,E27=""),$T$6,AND(J27=$S$17,E27=""),$T$17,AND(J27=$S$29,E27=""),$T$29,AND(J27=$S$41,E27=""),$T$41,TRUE,"")</f>
        <v/>
      </c>
      <c r="L27" s="22" t="str">
        <f>IF(K27="",E27,K27)</f>
        <v>Tina</v>
      </c>
      <c r="M27" s="33"/>
      <c r="N27" s="33"/>
      <c r="O27" s="33"/>
      <c r="P27" s="33"/>
      <c r="Q27" s="33"/>
      <c r="R27" s="33"/>
      <c r="S27" s="28"/>
      <c r="T27" s="28"/>
      <c r="U27" s="35">
        <v>1</v>
      </c>
      <c r="V27" s="33"/>
    </row>
    <row r="28" spans="1:22">
      <c r="A28" s="26">
        <v>45676</v>
      </c>
      <c r="B28" s="6" t="s">
        <v>80</v>
      </c>
      <c r="C28" s="6" t="s">
        <v>10</v>
      </c>
      <c r="D28" s="6" t="s">
        <v>11</v>
      </c>
      <c r="E28" s="6" t="s">
        <v>61</v>
      </c>
      <c r="F28" s="7">
        <v>20</v>
      </c>
      <c r="G28" s="7">
        <v>800</v>
      </c>
      <c r="H28" s="7">
        <v>16000</v>
      </c>
      <c r="I28" s="16" t="str">
        <f>IF(D28="",$P$5,"")</f>
        <v/>
      </c>
      <c r="J28" s="6" t="str">
        <f>IF(I28="",D28,I28)</f>
        <v>South</v>
      </c>
      <c r="K28" s="6" t="str" cm="1">
        <f t="array" ref="K28">_xlfn.IFS(AND(J28=$S$6,E28=""),$T$6,AND(J28=$S$17,E28=""),$T$17,AND(J28=$S$29,E28=""),$T$29,AND(J28=$S$41,E28=""),$T$41,TRUE,"")</f>
        <v/>
      </c>
      <c r="L28" s="22" t="str">
        <f>IF(K28="",E28,K28)</f>
        <v>Priya</v>
      </c>
      <c r="M28" s="33"/>
      <c r="N28" s="33"/>
      <c r="O28" s="33"/>
      <c r="P28" s="33"/>
      <c r="Q28" s="33"/>
      <c r="R28" s="33"/>
      <c r="S28" s="28" t="s">
        <v>424</v>
      </c>
      <c r="T28" s="28"/>
      <c r="U28" s="35">
        <v>45</v>
      </c>
      <c r="V28" s="33"/>
    </row>
    <row r="29" spans="1:22">
      <c r="A29" s="26">
        <v>45726</v>
      </c>
      <c r="B29" s="6" t="s">
        <v>82</v>
      </c>
      <c r="C29" s="6" t="s">
        <v>19</v>
      </c>
      <c r="D29" s="6" t="s">
        <v>29</v>
      </c>
      <c r="E29" s="6" t="s">
        <v>16</v>
      </c>
      <c r="F29" s="7">
        <v>30</v>
      </c>
      <c r="G29" s="7">
        <v>25000</v>
      </c>
      <c r="H29" s="7">
        <v>750000</v>
      </c>
      <c r="I29" s="16" t="str">
        <f>IF(D29="",$P$5,"")</f>
        <v/>
      </c>
      <c r="J29" s="6" t="str">
        <f>IF(I29="",D29,I29)</f>
        <v>East</v>
      </c>
      <c r="K29" s="6" t="str" cm="1">
        <f t="array" ref="K29">_xlfn.IFS(AND(J29=$S$6,E29=""),$T$6,AND(J29=$S$17,E29=""),$T$17,AND(J29=$S$29,E29=""),$T$29,AND(J29=$S$41,E29=""),$T$41,TRUE,"")</f>
        <v/>
      </c>
      <c r="L29" s="22" t="str">
        <f>IF(K29="",E29,K29)</f>
        <v>Amit</v>
      </c>
      <c r="M29" s="33"/>
      <c r="N29" s="33"/>
      <c r="O29" s="33"/>
      <c r="P29" s="33"/>
      <c r="Q29" s="33"/>
      <c r="R29" s="33"/>
      <c r="S29" s="28" t="s">
        <v>11</v>
      </c>
      <c r="T29" s="28" t="s">
        <v>20</v>
      </c>
      <c r="U29" s="35">
        <v>9</v>
      </c>
      <c r="V29" s="33"/>
    </row>
    <row r="30" spans="1:22">
      <c r="A30" s="26">
        <v>45820</v>
      </c>
      <c r="B30" s="6" t="s">
        <v>84</v>
      </c>
      <c r="C30" s="6" t="s">
        <v>10</v>
      </c>
      <c r="D30" s="6" t="s">
        <v>11</v>
      </c>
      <c r="E30" s="6" t="s">
        <v>72</v>
      </c>
      <c r="F30" s="7">
        <v>4</v>
      </c>
      <c r="G30" s="7">
        <v>25000</v>
      </c>
      <c r="H30" s="7">
        <v>100000</v>
      </c>
      <c r="I30" s="16" t="str">
        <f>IF(D30="",$P$5,"")</f>
        <v/>
      </c>
      <c r="J30" s="6" t="str">
        <f>IF(I30="",D30,I30)</f>
        <v>South</v>
      </c>
      <c r="K30" s="6" t="str" cm="1">
        <f t="array" ref="K30">_xlfn.IFS(AND(J30=$S$6,E30=""),$T$6,AND(J30=$S$17,E30=""),$T$17,AND(J30=$S$29,E30=""),$T$29,AND(J30=$S$41,E30=""),$T$41,TRUE,"")</f>
        <v/>
      </c>
      <c r="L30" s="22" t="str">
        <f>IF(K30="",E30,K30)</f>
        <v>Vivek</v>
      </c>
      <c r="M30" s="33"/>
      <c r="N30" s="33"/>
      <c r="O30" s="33"/>
      <c r="P30" s="33"/>
      <c r="Q30" s="33"/>
      <c r="R30" s="33"/>
      <c r="S30" s="28"/>
      <c r="T30" s="28" t="s">
        <v>72</v>
      </c>
      <c r="U30" s="35">
        <v>8</v>
      </c>
      <c r="V30" s="33"/>
    </row>
    <row r="31" spans="1:22">
      <c r="A31" s="26">
        <v>45683</v>
      </c>
      <c r="B31" s="6" t="s">
        <v>87</v>
      </c>
      <c r="C31" s="6" t="s">
        <v>19</v>
      </c>
      <c r="D31" s="6" t="s">
        <v>29</v>
      </c>
      <c r="E31" s="6" t="s">
        <v>38</v>
      </c>
      <c r="F31" s="7">
        <v>37</v>
      </c>
      <c r="G31" s="7">
        <v>50000</v>
      </c>
      <c r="H31" s="7">
        <v>1850000</v>
      </c>
      <c r="I31" s="16" t="str">
        <f>IF(D31="",$P$5,"")</f>
        <v/>
      </c>
      <c r="J31" s="6" t="str">
        <f>IF(I31="",D31,I31)</f>
        <v>East</v>
      </c>
      <c r="K31" s="6" t="str" cm="1">
        <f t="array" ref="K31">_xlfn.IFS(AND(J31=$S$6,E31=""),$T$6,AND(J31=$S$17,E31=""),$T$17,AND(J31=$S$29,E31=""),$T$29,AND(J31=$S$41,E31=""),$T$41,TRUE,"")</f>
        <v/>
      </c>
      <c r="L31" s="22" t="str">
        <f>IF(K31="",E31,K31)</f>
        <v>Tina</v>
      </c>
      <c r="M31" s="33"/>
      <c r="N31" s="33"/>
      <c r="O31" s="33"/>
      <c r="P31" s="33"/>
      <c r="Q31" s="33"/>
      <c r="R31" s="33"/>
      <c r="S31" s="28"/>
      <c r="T31" s="28" t="s">
        <v>30</v>
      </c>
      <c r="U31" s="35">
        <v>6</v>
      </c>
      <c r="V31" s="33"/>
    </row>
    <row r="32" spans="1:22">
      <c r="A32" s="26">
        <v>45837</v>
      </c>
      <c r="B32" s="6" t="s">
        <v>89</v>
      </c>
      <c r="C32" s="6" t="s">
        <v>23</v>
      </c>
      <c r="D32" s="6" t="s">
        <v>24</v>
      </c>
      <c r="E32" s="6" t="s">
        <v>16</v>
      </c>
      <c r="F32" s="7">
        <v>13</v>
      </c>
      <c r="G32" s="7">
        <v>30000</v>
      </c>
      <c r="H32" s="7">
        <v>390000</v>
      </c>
      <c r="I32" s="16" t="str">
        <f>IF(D32="",$P$5,"")</f>
        <v/>
      </c>
      <c r="J32" s="6" t="str">
        <f>IF(I32="",D32,I32)</f>
        <v>North</v>
      </c>
      <c r="K32" s="6" t="str" cm="1">
        <f t="array" ref="K32">_xlfn.IFS(AND(J32=$S$6,E32=""),$T$6,AND(J32=$S$17,E32=""),$T$17,AND(J32=$S$29,E32=""),$T$29,AND(J32=$S$41,E32=""),$T$41,TRUE,"")</f>
        <v/>
      </c>
      <c r="L32" s="22" t="str">
        <f>IF(K32="",E32,K32)</f>
        <v>Amit</v>
      </c>
      <c r="M32" s="33"/>
      <c r="N32" s="33"/>
      <c r="O32" s="33"/>
      <c r="P32" s="33"/>
      <c r="Q32" s="33"/>
      <c r="R32" s="33"/>
      <c r="S32" s="28"/>
      <c r="T32" s="28" t="s">
        <v>25</v>
      </c>
      <c r="U32" s="35">
        <v>6</v>
      </c>
      <c r="V32" s="33"/>
    </row>
    <row r="33" spans="1:22">
      <c r="A33" s="26">
        <v>45834</v>
      </c>
      <c r="B33" s="6" t="s">
        <v>91</v>
      </c>
      <c r="C33" s="6" t="s">
        <v>23</v>
      </c>
      <c r="D33" s="6" t="s">
        <v>24</v>
      </c>
      <c r="E33" s="6" t="s">
        <v>20</v>
      </c>
      <c r="F33" s="7">
        <v>23</v>
      </c>
      <c r="G33" s="7">
        <v>1200</v>
      </c>
      <c r="H33" s="7">
        <v>27600</v>
      </c>
      <c r="I33" s="16" t="str">
        <f>IF(D33="",$P$5,"")</f>
        <v/>
      </c>
      <c r="J33" s="6" t="str">
        <f>IF(I33="",D33,I33)</f>
        <v>North</v>
      </c>
      <c r="K33" s="6" t="str" cm="1">
        <f t="array" ref="K33">_xlfn.IFS(AND(J33=$S$6,E33=""),$T$6,AND(J33=$S$17,E33=""),$T$17,AND(J33=$S$29,E33=""),$T$29,AND(J33=$S$41,E33=""),$T$41,TRUE,"")</f>
        <v/>
      </c>
      <c r="L33" s="22" t="str">
        <f>IF(K33="",E33,K33)</f>
        <v>Sonia</v>
      </c>
      <c r="M33" s="33"/>
      <c r="N33" s="33"/>
      <c r="O33" s="33"/>
      <c r="P33" s="33"/>
      <c r="Q33" s="33"/>
      <c r="R33" s="33"/>
      <c r="S33" s="28"/>
      <c r="T33" s="28" t="s">
        <v>61</v>
      </c>
      <c r="U33" s="35">
        <v>6</v>
      </c>
      <c r="V33" s="33"/>
    </row>
    <row r="34" spans="1:22">
      <c r="A34" s="26">
        <v>45803</v>
      </c>
      <c r="B34" s="6" t="s">
        <v>93</v>
      </c>
      <c r="C34" s="6" t="s">
        <v>19</v>
      </c>
      <c r="D34" s="6" t="s">
        <v>24</v>
      </c>
      <c r="E34" s="6" t="s">
        <v>30</v>
      </c>
      <c r="F34" s="7">
        <v>31</v>
      </c>
      <c r="G34" s="7">
        <v>50000</v>
      </c>
      <c r="H34" s="7">
        <v>1550000</v>
      </c>
      <c r="I34" s="16" t="str">
        <f>IF(D34="",$P$5,"")</f>
        <v/>
      </c>
      <c r="J34" s="6" t="str">
        <f>IF(I34="",D34,I34)</f>
        <v>North</v>
      </c>
      <c r="K34" s="6" t="str" cm="1">
        <f t="array" ref="K34">_xlfn.IFS(AND(J34=$S$6,E34=""),$T$6,AND(J34=$S$17,E34=""),$T$17,AND(J34=$S$29,E34=""),$T$29,AND(J34=$S$41,E34=""),$T$41,TRUE,"")</f>
        <v/>
      </c>
      <c r="L34" s="22" t="str">
        <f>IF(K34="",E34,K34)</f>
        <v>Riya</v>
      </c>
      <c r="M34" s="33"/>
      <c r="N34" s="33"/>
      <c r="O34" s="33"/>
      <c r="P34" s="33"/>
      <c r="Q34" s="33"/>
      <c r="R34" s="33"/>
      <c r="S34" s="28"/>
      <c r="T34" s="28" t="s">
        <v>46</v>
      </c>
      <c r="U34" s="35">
        <v>5</v>
      </c>
      <c r="V34" s="33"/>
    </row>
    <row r="35" spans="1:22">
      <c r="A35" s="26">
        <v>45789</v>
      </c>
      <c r="B35" s="6" t="s">
        <v>95</v>
      </c>
      <c r="C35" s="6" t="s">
        <v>10</v>
      </c>
      <c r="D35" s="6" t="s">
        <v>11</v>
      </c>
      <c r="E35" s="6" t="s">
        <v>72</v>
      </c>
      <c r="F35" s="7">
        <v>24</v>
      </c>
      <c r="G35" s="7">
        <v>25000</v>
      </c>
      <c r="H35" s="7">
        <v>600000</v>
      </c>
      <c r="I35" s="16" t="str">
        <f>IF(D35="",$P$5,"")</f>
        <v/>
      </c>
      <c r="J35" s="6" t="str">
        <f>IF(I35="",D35,I35)</f>
        <v>South</v>
      </c>
      <c r="K35" s="6" t="str" cm="1">
        <f t="array" ref="K35">_xlfn.IFS(AND(J35=$S$6,E35=""),$T$6,AND(J35=$S$17,E35=""),$T$17,AND(J35=$S$29,E35=""),$T$29,AND(J35=$S$41,E35=""),$T$41,TRUE,"")</f>
        <v/>
      </c>
      <c r="L35" s="22" t="str">
        <f>IF(K35="",E35,K35)</f>
        <v>Vivek</v>
      </c>
      <c r="M35" s="33"/>
      <c r="N35" s="33"/>
      <c r="O35" s="33"/>
      <c r="P35" s="33"/>
      <c r="Q35" s="33"/>
      <c r="R35" s="33"/>
      <c r="S35" s="28"/>
      <c r="T35" s="28" t="s">
        <v>16</v>
      </c>
      <c r="U35" s="35">
        <v>4</v>
      </c>
      <c r="V35" s="33"/>
    </row>
    <row r="36" spans="1:22">
      <c r="A36" s="26">
        <v>45825</v>
      </c>
      <c r="B36" s="6" t="s">
        <v>97</v>
      </c>
      <c r="C36" s="6" t="s">
        <v>15</v>
      </c>
      <c r="D36" s="6" t="s">
        <v>11</v>
      </c>
      <c r="E36" s="6" t="s">
        <v>33</v>
      </c>
      <c r="F36" s="7">
        <v>32</v>
      </c>
      <c r="G36" s="7">
        <v>25000</v>
      </c>
      <c r="H36" s="7">
        <v>800000</v>
      </c>
      <c r="I36" s="16" t="str">
        <f>IF(D36="",$P$5,"")</f>
        <v/>
      </c>
      <c r="J36" s="6" t="str">
        <f>IF(I36="",D36,I36)</f>
        <v>South</v>
      </c>
      <c r="K36" s="6" t="str" cm="1">
        <f t="array" ref="K36">_xlfn.IFS(AND(J36=$S$6,E36=""),$T$6,AND(J36=$S$17,E36=""),$T$17,AND(J36=$S$29,E36=""),$T$29,AND(J36=$S$41,E36=""),$T$41,TRUE,"")</f>
        <v/>
      </c>
      <c r="L36" s="22" t="str">
        <f>IF(K36="",E36,K36)</f>
        <v>Karan</v>
      </c>
      <c r="M36" s="33"/>
      <c r="N36" s="33"/>
      <c r="O36" s="33"/>
      <c r="P36" s="33"/>
      <c r="Q36" s="33"/>
      <c r="R36" s="33"/>
      <c r="S36" s="28"/>
      <c r="T36" s="28" t="s">
        <v>12</v>
      </c>
      <c r="U36" s="35">
        <v>3</v>
      </c>
      <c r="V36" s="33"/>
    </row>
    <row r="37" spans="1:22">
      <c r="A37" s="26">
        <v>45810</v>
      </c>
      <c r="B37" s="6" t="s">
        <v>99</v>
      </c>
      <c r="C37" s="6" t="s">
        <v>19</v>
      </c>
      <c r="D37" s="6" t="s">
        <v>11</v>
      </c>
      <c r="E37" s="6" t="s">
        <v>72</v>
      </c>
      <c r="F37" s="7">
        <v>21</v>
      </c>
      <c r="G37" s="7">
        <v>15000</v>
      </c>
      <c r="H37" s="7">
        <v>315000</v>
      </c>
      <c r="I37" s="16" t="str">
        <f>IF(D37="",$P$5,"")</f>
        <v/>
      </c>
      <c r="J37" s="6" t="str">
        <f>IF(I37="",D37,I37)</f>
        <v>South</v>
      </c>
      <c r="K37" s="6" t="str" cm="1">
        <f t="array" ref="K37">_xlfn.IFS(AND(J37=$S$6,E37=""),$T$6,AND(J37=$S$17,E37=""),$T$17,AND(J37=$S$29,E37=""),$T$29,AND(J37=$S$41,E37=""),$T$41,TRUE,"")</f>
        <v/>
      </c>
      <c r="L37" s="22" t="str">
        <f>IF(K37="",E37,K37)</f>
        <v>Vivek</v>
      </c>
      <c r="M37" s="33"/>
      <c r="N37" s="33"/>
      <c r="O37" s="33"/>
      <c r="P37" s="33"/>
      <c r="Q37" s="33"/>
      <c r="R37" s="33"/>
      <c r="S37" s="28"/>
      <c r="T37" s="28" t="s">
        <v>33</v>
      </c>
      <c r="U37" s="35">
        <v>2</v>
      </c>
      <c r="V37" s="33"/>
    </row>
    <row r="38" spans="1:22">
      <c r="A38" s="26">
        <v>45768</v>
      </c>
      <c r="B38" s="6" t="s">
        <v>101</v>
      </c>
      <c r="C38" s="6" t="s">
        <v>15</v>
      </c>
      <c r="D38" s="6" t="s">
        <v>29</v>
      </c>
      <c r="E38" s="6" t="s">
        <v>33</v>
      </c>
      <c r="F38" s="7">
        <v>49</v>
      </c>
      <c r="G38" s="7">
        <v>1200</v>
      </c>
      <c r="H38" s="7">
        <v>58800</v>
      </c>
      <c r="I38" s="16" t="str">
        <f>IF(D38="",$P$5,"")</f>
        <v/>
      </c>
      <c r="J38" s="6" t="str">
        <f>IF(I38="",D38,I38)</f>
        <v>East</v>
      </c>
      <c r="K38" s="6" t="str" cm="1">
        <f t="array" ref="K38">_xlfn.IFS(AND(J38=$S$6,E38=""),$T$6,AND(J38=$S$17,E38=""),$T$17,AND(J38=$S$29,E38=""),$T$29,AND(J38=$S$41,E38=""),$T$41,TRUE,"")</f>
        <v/>
      </c>
      <c r="L38" s="22" t="str">
        <f>IF(K38="",E38,K38)</f>
        <v>Karan</v>
      </c>
      <c r="M38" s="33"/>
      <c r="N38" s="33"/>
      <c r="O38" s="33"/>
      <c r="P38" s="33"/>
      <c r="Q38" s="33"/>
      <c r="R38" s="33"/>
      <c r="S38" s="28"/>
      <c r="T38" s="28"/>
      <c r="U38" s="35">
        <v>2</v>
      </c>
      <c r="V38" s="33"/>
    </row>
    <row r="39" spans="1:22">
      <c r="A39" s="26">
        <v>45680</v>
      </c>
      <c r="B39" s="6" t="s">
        <v>103</v>
      </c>
      <c r="C39" s="6" t="s">
        <v>10</v>
      </c>
      <c r="D39" s="6" t="s">
        <v>24</v>
      </c>
      <c r="E39" s="6" t="s">
        <v>46</v>
      </c>
      <c r="F39" s="7">
        <v>10</v>
      </c>
      <c r="G39" s="7">
        <v>15000</v>
      </c>
      <c r="H39" s="7">
        <v>150000</v>
      </c>
      <c r="I39" s="16" t="str">
        <f>IF(D39="",$P$5,"")</f>
        <v/>
      </c>
      <c r="J39" s="6" t="str">
        <f>IF(I39="",D39,I39)</f>
        <v>North</v>
      </c>
      <c r="K39" s="6" t="str" cm="1">
        <f t="array" ref="K39">_xlfn.IFS(AND(J39=$S$6,E39=""),$T$6,AND(J39=$S$17,E39=""),$T$17,AND(J39=$S$29,E39=""),$T$29,AND(J39=$S$41,E39=""),$T$41,TRUE,"")</f>
        <v/>
      </c>
      <c r="L39" s="22" t="str">
        <f>IF(K39="",E39,K39)</f>
        <v>Manish</v>
      </c>
      <c r="M39" s="33"/>
      <c r="N39" s="33"/>
      <c r="O39" s="33"/>
      <c r="P39" s="33"/>
      <c r="Q39" s="33"/>
      <c r="R39" s="33"/>
      <c r="S39" s="28"/>
      <c r="T39" s="28" t="s">
        <v>38</v>
      </c>
      <c r="U39" s="35">
        <v>1</v>
      </c>
      <c r="V39" s="33"/>
    </row>
    <row r="40" spans="1:22">
      <c r="A40" s="26">
        <v>45780</v>
      </c>
      <c r="B40" s="6" t="s">
        <v>105</v>
      </c>
      <c r="C40" s="6" t="s">
        <v>15</v>
      </c>
      <c r="D40" s="6" t="s">
        <v>24</v>
      </c>
      <c r="E40" s="6" t="s">
        <v>30</v>
      </c>
      <c r="F40" s="7">
        <v>43</v>
      </c>
      <c r="G40" s="7">
        <v>50000</v>
      </c>
      <c r="H40" s="7">
        <v>2150000</v>
      </c>
      <c r="I40" s="16" t="str">
        <f>IF(D40="",$P$5,"")</f>
        <v/>
      </c>
      <c r="J40" s="6" t="str">
        <f>IF(I40="",D40,I40)</f>
        <v>North</v>
      </c>
      <c r="K40" s="6" t="str" cm="1">
        <f t="array" ref="K40">_xlfn.IFS(AND(J40=$S$6,E40=""),$T$6,AND(J40=$S$17,E40=""),$T$17,AND(J40=$S$29,E40=""),$T$29,AND(J40=$S$41,E40=""),$T$41,TRUE,"")</f>
        <v/>
      </c>
      <c r="L40" s="22" t="str">
        <f>IF(K40="",E40,K40)</f>
        <v>Riya</v>
      </c>
      <c r="M40" s="33"/>
      <c r="N40" s="33"/>
      <c r="O40" s="33"/>
      <c r="P40" s="33"/>
      <c r="Q40" s="33"/>
      <c r="R40" s="33"/>
      <c r="S40" s="28" t="s">
        <v>425</v>
      </c>
      <c r="T40" s="28"/>
      <c r="U40" s="35">
        <v>52</v>
      </c>
      <c r="V40" s="33"/>
    </row>
    <row r="41" spans="1:22">
      <c r="A41" s="26">
        <v>45836</v>
      </c>
      <c r="B41" s="6" t="s">
        <v>107</v>
      </c>
      <c r="C41" s="6" t="s">
        <v>15</v>
      </c>
      <c r="D41" s="6" t="s">
        <v>51</v>
      </c>
      <c r="E41" s="6" t="s">
        <v>38</v>
      </c>
      <c r="F41" s="7">
        <v>36</v>
      </c>
      <c r="G41" s="7">
        <v>1200</v>
      </c>
      <c r="H41" s="7">
        <v>43200</v>
      </c>
      <c r="I41" s="16" t="str">
        <f>IF(D41="",$P$5,"")</f>
        <v/>
      </c>
      <c r="J41" s="6" t="str">
        <f>IF(I41="",D41,I41)</f>
        <v>West</v>
      </c>
      <c r="K41" s="6" t="str" cm="1">
        <f t="array" ref="K41">_xlfn.IFS(AND(J41=$S$6,E41=""),$T$6,AND(J41=$S$17,E41=""),$T$17,AND(J41=$S$29,E41=""),$T$29,AND(J41=$S$41,E41=""),$T$41,TRUE,"")</f>
        <v/>
      </c>
      <c r="L41" s="22" t="str">
        <f>IF(K41="",E41,K41)</f>
        <v>Tina</v>
      </c>
      <c r="M41" s="33"/>
      <c r="N41" s="33"/>
      <c r="O41" s="33"/>
      <c r="P41" s="33"/>
      <c r="Q41" s="33"/>
      <c r="R41" s="33"/>
      <c r="S41" s="28" t="s">
        <v>51</v>
      </c>
      <c r="T41" s="28" t="s">
        <v>20</v>
      </c>
      <c r="U41" s="35">
        <v>7</v>
      </c>
      <c r="V41" s="33"/>
    </row>
    <row r="42" spans="1:22">
      <c r="A42" s="26">
        <v>45830</v>
      </c>
      <c r="B42" s="6" t="s">
        <v>109</v>
      </c>
      <c r="C42" s="6" t="s">
        <v>10</v>
      </c>
      <c r="D42" s="6" t="s">
        <v>24</v>
      </c>
      <c r="E42" s="6" t="s">
        <v>30</v>
      </c>
      <c r="F42" s="7">
        <v>17</v>
      </c>
      <c r="G42" s="7">
        <v>25000</v>
      </c>
      <c r="H42" s="7">
        <v>425000</v>
      </c>
      <c r="I42" s="16" t="str">
        <f>IF(D42="",$P$5,"")</f>
        <v/>
      </c>
      <c r="J42" s="6" t="str">
        <f>IF(I42="",D42,I42)</f>
        <v>North</v>
      </c>
      <c r="K42" s="6" t="str" cm="1">
        <f t="array" ref="K42">_xlfn.IFS(AND(J42=$S$6,E42=""),$T$6,AND(J42=$S$17,E42=""),$T$17,AND(J42=$S$29,E42=""),$T$29,AND(J42=$S$41,E42=""),$T$41,TRUE,"")</f>
        <v/>
      </c>
      <c r="L42" s="22" t="str">
        <f>IF(K42="",E42,K42)</f>
        <v>Riya</v>
      </c>
      <c r="M42" s="33"/>
      <c r="N42" s="33"/>
      <c r="O42" s="33"/>
      <c r="P42" s="33"/>
      <c r="Q42" s="33"/>
      <c r="R42" s="33"/>
      <c r="S42" s="28"/>
      <c r="T42" s="28" t="s">
        <v>38</v>
      </c>
      <c r="U42" s="35">
        <v>6</v>
      </c>
      <c r="V42" s="33"/>
    </row>
    <row r="43" spans="1:22">
      <c r="A43" s="26">
        <v>45996</v>
      </c>
      <c r="B43" s="6" t="s">
        <v>111</v>
      </c>
      <c r="C43" s="6" t="s">
        <v>23</v>
      </c>
      <c r="D43" s="6" t="s">
        <v>51</v>
      </c>
      <c r="E43" s="6" t="s">
        <v>25</v>
      </c>
      <c r="F43" s="7">
        <v>16</v>
      </c>
      <c r="G43" s="7">
        <v>50000</v>
      </c>
      <c r="H43" s="7">
        <v>800000</v>
      </c>
      <c r="I43" s="16" t="str">
        <f>IF(D43="",$P$5,"")</f>
        <v/>
      </c>
      <c r="J43" s="6" t="str">
        <f>IF(I43="",D43,I43)</f>
        <v>West</v>
      </c>
      <c r="K43" s="6" t="str" cm="1">
        <f t="array" ref="K43">_xlfn.IFS(AND(J43=$S$6,E43=""),$T$6,AND(J43=$S$17,E43=""),$T$17,AND(J43=$S$29,E43=""),$T$29,AND(J43=$S$41,E43=""),$T$41,TRUE,"")</f>
        <v/>
      </c>
      <c r="L43" s="22" t="str">
        <f>IF(K43="",E43,K43)</f>
        <v>Neha</v>
      </c>
      <c r="M43" s="33"/>
      <c r="N43" s="33"/>
      <c r="O43" s="33"/>
      <c r="P43" s="33"/>
      <c r="Q43" s="33"/>
      <c r="R43" s="33"/>
      <c r="S43" s="28"/>
      <c r="T43" s="28" t="s">
        <v>33</v>
      </c>
      <c r="U43" s="35">
        <v>6</v>
      </c>
      <c r="V43" s="33"/>
    </row>
    <row r="44" spans="1:22">
      <c r="A44" s="26">
        <v>45760</v>
      </c>
      <c r="B44" s="6" t="s">
        <v>113</v>
      </c>
      <c r="C44" s="6" t="s">
        <v>10</v>
      </c>
      <c r="D44" s="6" t="s">
        <v>51</v>
      </c>
      <c r="E44" s="6"/>
      <c r="F44" s="7">
        <v>30</v>
      </c>
      <c r="G44" s="7">
        <v>800</v>
      </c>
      <c r="H44" s="7">
        <v>24000</v>
      </c>
      <c r="I44" s="16" t="str">
        <f>IF(D44="",$P$5,"")</f>
        <v/>
      </c>
      <c r="J44" s="6" t="str">
        <f>IF(I44="",D44,I44)</f>
        <v>West</v>
      </c>
      <c r="K44" s="6" t="str" cm="1">
        <f t="array" ref="K44">_xlfn.IFS(AND(J44=$S$6,E44=""),$T$6,AND(J44=$S$17,E44=""),$T$17,AND(J44=$S$29,E44=""),$T$29,AND(J44=$S$41,E44=""),$T$41,TRUE,"")</f>
        <v>Sonia</v>
      </c>
      <c r="L44" s="22" t="str">
        <f>IF(K44="",E44,K44)</f>
        <v>Sonia</v>
      </c>
      <c r="M44" s="33"/>
      <c r="N44" s="33"/>
      <c r="O44" s="33"/>
      <c r="P44" s="33"/>
      <c r="Q44" s="33"/>
      <c r="R44" s="33"/>
      <c r="S44" s="28"/>
      <c r="T44" s="28" t="s">
        <v>72</v>
      </c>
      <c r="U44" s="35">
        <v>5</v>
      </c>
      <c r="V44" s="33"/>
    </row>
    <row r="45" spans="1:22">
      <c r="A45" s="26">
        <v>45794</v>
      </c>
      <c r="B45" s="6" t="s">
        <v>115</v>
      </c>
      <c r="C45" s="6" t="s">
        <v>116</v>
      </c>
      <c r="D45" s="6"/>
      <c r="E45" s="6" t="s">
        <v>46</v>
      </c>
      <c r="F45" s="7">
        <v>3</v>
      </c>
      <c r="G45" s="7">
        <v>800</v>
      </c>
      <c r="H45" s="7">
        <v>2400</v>
      </c>
      <c r="I45" s="16" t="str">
        <f>IF(D45="",$P$5,"")</f>
        <v>South</v>
      </c>
      <c r="J45" s="6" t="str">
        <f>IF(I45="",D45,I45)</f>
        <v>South</v>
      </c>
      <c r="K45" s="6" t="str" cm="1">
        <f t="array" ref="K45">_xlfn.IFS(AND(J45=$S$6,E45=""),$T$6,AND(J45=$S$17,E45=""),$T$17,AND(J45=$S$29,E45=""),$T$29,AND(J45=$S$41,E45=""),$T$41,TRUE,"")</f>
        <v/>
      </c>
      <c r="L45" s="22" t="str">
        <f>IF(K45="",E45,K45)</f>
        <v>Manish</v>
      </c>
      <c r="M45" s="33"/>
      <c r="N45" s="33"/>
      <c r="O45" s="33"/>
      <c r="P45" s="33"/>
      <c r="Q45" s="33"/>
      <c r="R45" s="33"/>
      <c r="S45" s="28"/>
      <c r="T45" s="28" t="s">
        <v>25</v>
      </c>
      <c r="U45" s="35">
        <v>5</v>
      </c>
      <c r="V45" s="33"/>
    </row>
    <row r="46" spans="1:22">
      <c r="A46" s="26">
        <v>45712</v>
      </c>
      <c r="B46" s="6" t="s">
        <v>119</v>
      </c>
      <c r="C46" s="6" t="s">
        <v>10</v>
      </c>
      <c r="D46" s="6" t="s">
        <v>24</v>
      </c>
      <c r="E46" s="6" t="s">
        <v>16</v>
      </c>
      <c r="F46" s="7">
        <v>40</v>
      </c>
      <c r="G46" s="7">
        <v>25000</v>
      </c>
      <c r="H46" s="7">
        <v>1000000</v>
      </c>
      <c r="I46" s="16" t="str">
        <f>IF(D46="",$P$5,"")</f>
        <v/>
      </c>
      <c r="J46" s="6" t="str">
        <f>IF(I46="",D46,I46)</f>
        <v>North</v>
      </c>
      <c r="K46" s="6" t="str" cm="1">
        <f t="array" ref="K46">_xlfn.IFS(AND(J46=$S$6,E46=""),$T$6,AND(J46=$S$17,E46=""),$T$17,AND(J46=$S$29,E46=""),$T$29,AND(J46=$S$41,E46=""),$T$41,TRUE,"")</f>
        <v/>
      </c>
      <c r="L46" s="22" t="str">
        <f>IF(K46="",E46,K46)</f>
        <v>Amit</v>
      </c>
      <c r="M46" s="33"/>
      <c r="N46" s="33"/>
      <c r="O46" s="33"/>
      <c r="P46" s="33"/>
      <c r="Q46" s="33"/>
      <c r="R46" s="33"/>
      <c r="S46" s="28"/>
      <c r="T46" s="28" t="s">
        <v>30</v>
      </c>
      <c r="U46" s="35">
        <v>3</v>
      </c>
      <c r="V46" s="33"/>
    </row>
    <row r="47" spans="1:22">
      <c r="A47" s="26">
        <v>45727</v>
      </c>
      <c r="B47" s="6" t="s">
        <v>121</v>
      </c>
      <c r="C47" s="6" t="s">
        <v>23</v>
      </c>
      <c r="D47" s="6" t="s">
        <v>11</v>
      </c>
      <c r="E47" s="6" t="s">
        <v>25</v>
      </c>
      <c r="F47" s="7">
        <v>7</v>
      </c>
      <c r="G47" s="7">
        <v>30000</v>
      </c>
      <c r="H47" s="7">
        <v>210000</v>
      </c>
      <c r="I47" s="16" t="str">
        <f>IF(D47="",$P$5,"")</f>
        <v/>
      </c>
      <c r="J47" s="6" t="str">
        <f>IF(I47="",D47,I47)</f>
        <v>South</v>
      </c>
      <c r="K47" s="6" t="str" cm="1">
        <f t="array" ref="K47">_xlfn.IFS(AND(J47=$S$6,E47=""),$T$6,AND(J47=$S$17,E47=""),$T$17,AND(J47=$S$29,E47=""),$T$29,AND(J47=$S$41,E47=""),$T$41,TRUE,"")</f>
        <v/>
      </c>
      <c r="L47" s="22" t="str">
        <f>IF(K47="",E47,K47)</f>
        <v>Neha</v>
      </c>
      <c r="M47" s="33"/>
      <c r="N47" s="33"/>
      <c r="O47" s="33"/>
      <c r="P47" s="33"/>
      <c r="Q47" s="33"/>
      <c r="R47" s="33"/>
      <c r="S47" s="28"/>
      <c r="T47" s="28"/>
      <c r="U47" s="35">
        <v>3</v>
      </c>
      <c r="V47" s="33"/>
    </row>
    <row r="48" spans="1:22">
      <c r="A48" s="26">
        <v>45832</v>
      </c>
      <c r="B48" s="6" t="s">
        <v>123</v>
      </c>
      <c r="C48" s="6" t="s">
        <v>23</v>
      </c>
      <c r="D48" s="6" t="s">
        <v>29</v>
      </c>
      <c r="E48" s="6" t="s">
        <v>30</v>
      </c>
      <c r="F48" s="7">
        <v>13</v>
      </c>
      <c r="G48" s="7">
        <v>30000</v>
      </c>
      <c r="H48" s="7">
        <v>390000</v>
      </c>
      <c r="I48" s="16" t="str">
        <f>IF(D48="",$P$5,"")</f>
        <v/>
      </c>
      <c r="J48" s="6" t="str">
        <f>IF(I48="",D48,I48)</f>
        <v>East</v>
      </c>
      <c r="K48" s="6" t="str" cm="1">
        <f t="array" ref="K48">_xlfn.IFS(AND(J48=$S$6,E48=""),$T$6,AND(J48=$S$17,E48=""),$T$17,AND(J48=$S$29,E48=""),$T$29,AND(J48=$S$41,E48=""),$T$41,TRUE,"")</f>
        <v/>
      </c>
      <c r="L48" s="22" t="str">
        <f>IF(K48="",E48,K48)</f>
        <v>Riya</v>
      </c>
      <c r="M48" s="33"/>
      <c r="N48" s="33"/>
      <c r="O48" s="33"/>
      <c r="P48" s="33"/>
      <c r="Q48" s="33"/>
      <c r="R48" s="33"/>
      <c r="S48" s="28"/>
      <c r="T48" s="28" t="s">
        <v>12</v>
      </c>
      <c r="U48" s="35">
        <v>3</v>
      </c>
      <c r="V48" s="33"/>
    </row>
    <row r="49" spans="1:22">
      <c r="A49" s="26">
        <v>45705</v>
      </c>
      <c r="B49" s="6" t="s">
        <v>125</v>
      </c>
      <c r="C49" s="6" t="s">
        <v>23</v>
      </c>
      <c r="D49" s="6" t="s">
        <v>11</v>
      </c>
      <c r="E49" s="6" t="s">
        <v>12</v>
      </c>
      <c r="F49" s="7">
        <v>29</v>
      </c>
      <c r="G49" s="7">
        <v>1200</v>
      </c>
      <c r="H49" s="7">
        <v>34800</v>
      </c>
      <c r="I49" s="16" t="str">
        <f>IF(D49="",$P$5,"")</f>
        <v/>
      </c>
      <c r="J49" s="6" t="str">
        <f>IF(I49="",D49,I49)</f>
        <v>South</v>
      </c>
      <c r="K49" s="6" t="str" cm="1">
        <f t="array" ref="K49">_xlfn.IFS(AND(J49=$S$6,E49=""),$T$6,AND(J49=$S$17,E49=""),$T$17,AND(J49=$S$29,E49=""),$T$29,AND(J49=$S$41,E49=""),$T$41,TRUE,"")</f>
        <v/>
      </c>
      <c r="L49" s="22" t="str">
        <f>IF(K49="",E49,K49)</f>
        <v>Rohit</v>
      </c>
      <c r="M49" s="33"/>
      <c r="N49" s="33"/>
      <c r="O49" s="33"/>
      <c r="P49" s="33"/>
      <c r="Q49" s="33"/>
      <c r="R49" s="33"/>
      <c r="S49" s="28"/>
      <c r="T49" s="28" t="s">
        <v>16</v>
      </c>
      <c r="U49" s="35">
        <v>2</v>
      </c>
      <c r="V49" s="33"/>
    </row>
    <row r="50" spans="1:22">
      <c r="A50" s="26">
        <v>45677</v>
      </c>
      <c r="B50" s="6" t="s">
        <v>127</v>
      </c>
      <c r="C50" s="6" t="s">
        <v>10</v>
      </c>
      <c r="D50" s="6" t="s">
        <v>51</v>
      </c>
      <c r="E50" s="6" t="s">
        <v>30</v>
      </c>
      <c r="F50" s="7">
        <v>45</v>
      </c>
      <c r="G50" s="7">
        <v>30000</v>
      </c>
      <c r="H50" s="7">
        <v>1350000</v>
      </c>
      <c r="I50" s="16" t="str">
        <f>IF(D50="",$P$5,"")</f>
        <v/>
      </c>
      <c r="J50" s="6" t="str">
        <f>IF(I50="",D50,I50)</f>
        <v>West</v>
      </c>
      <c r="K50" s="6" t="str" cm="1">
        <f t="array" ref="K50">_xlfn.IFS(AND(J50=$S$6,E50=""),$T$6,AND(J50=$S$17,E50=""),$T$17,AND(J50=$S$29,E50=""),$T$29,AND(J50=$S$41,E50=""),$T$41,TRUE,"")</f>
        <v/>
      </c>
      <c r="L50" s="22" t="str">
        <f>IF(K50="",E50,K50)</f>
        <v>Riya</v>
      </c>
      <c r="M50" s="33"/>
      <c r="N50" s="33"/>
      <c r="O50" s="33"/>
      <c r="P50" s="33"/>
      <c r="Q50" s="33"/>
      <c r="R50" s="33"/>
      <c r="S50" s="28"/>
      <c r="T50" s="28" t="s">
        <v>46</v>
      </c>
      <c r="U50" s="35">
        <v>2</v>
      </c>
      <c r="V50" s="33"/>
    </row>
    <row r="51" spans="1:22">
      <c r="A51" s="26">
        <v>45812</v>
      </c>
      <c r="B51" s="6" t="s">
        <v>129</v>
      </c>
      <c r="C51" s="6" t="s">
        <v>10</v>
      </c>
      <c r="D51" s="6" t="s">
        <v>11</v>
      </c>
      <c r="E51" s="6" t="s">
        <v>72</v>
      </c>
      <c r="F51" s="7">
        <v>45</v>
      </c>
      <c r="G51" s="7">
        <v>15000</v>
      </c>
      <c r="H51" s="7">
        <v>675000</v>
      </c>
      <c r="I51" s="16" t="str">
        <f>IF(D51="",$P$5,"")</f>
        <v/>
      </c>
      <c r="J51" s="6" t="str">
        <f>IF(I51="",D51,I51)</f>
        <v>South</v>
      </c>
      <c r="K51" s="6" t="str" cm="1">
        <f t="array" ref="K51">_xlfn.IFS(AND(J51=$S$6,E51=""),$T$6,AND(J51=$S$17,E51=""),$T$17,AND(J51=$S$29,E51=""),$T$29,AND(J51=$S$41,E51=""),$T$41,TRUE,"")</f>
        <v/>
      </c>
      <c r="L51" s="22" t="str">
        <f>IF(K51="",E51,K51)</f>
        <v>Vivek</v>
      </c>
      <c r="M51" s="33"/>
      <c r="N51" s="33"/>
      <c r="O51" s="33"/>
      <c r="P51" s="33"/>
      <c r="Q51" s="33"/>
      <c r="R51" s="33"/>
      <c r="S51" s="28"/>
      <c r="T51" s="28" t="s">
        <v>61</v>
      </c>
      <c r="U51" s="35">
        <v>2</v>
      </c>
      <c r="V51" s="33"/>
    </row>
    <row r="52" spans="1:22">
      <c r="A52" s="26">
        <v>45732</v>
      </c>
      <c r="B52" s="6" t="s">
        <v>131</v>
      </c>
      <c r="C52" s="6" t="s">
        <v>15</v>
      </c>
      <c r="D52" s="6" t="s">
        <v>11</v>
      </c>
      <c r="E52" s="6" t="s">
        <v>20</v>
      </c>
      <c r="F52" s="7">
        <v>19</v>
      </c>
      <c r="G52" s="7">
        <v>800</v>
      </c>
      <c r="H52" s="7">
        <v>15200</v>
      </c>
      <c r="I52" s="16" t="str">
        <f>IF(D52="",$P$5,"")</f>
        <v/>
      </c>
      <c r="J52" s="6" t="str">
        <f>IF(I52="",D52,I52)</f>
        <v>South</v>
      </c>
      <c r="K52" s="6" t="str" cm="1">
        <f t="array" ref="K52">_xlfn.IFS(AND(J52=$S$6,E52=""),$T$6,AND(J52=$S$17,E52=""),$T$17,AND(J52=$S$29,E52=""),$T$29,AND(J52=$S$41,E52=""),$T$41,TRUE,"")</f>
        <v/>
      </c>
      <c r="L52" s="22" t="str">
        <f>IF(K52="",E52,K52)</f>
        <v>Sonia</v>
      </c>
      <c r="M52" s="33"/>
      <c r="N52" s="33"/>
      <c r="O52" s="33"/>
      <c r="P52" s="33"/>
      <c r="Q52" s="33"/>
      <c r="R52" s="33"/>
      <c r="S52" s="28" t="s">
        <v>426</v>
      </c>
      <c r="T52" s="28"/>
      <c r="U52" s="35">
        <v>44</v>
      </c>
      <c r="V52" s="33"/>
    </row>
    <row r="53" spans="1:22">
      <c r="A53" s="26">
        <v>45703</v>
      </c>
      <c r="B53" s="6" t="s">
        <v>133</v>
      </c>
      <c r="C53" s="6" t="s">
        <v>19</v>
      </c>
      <c r="D53" s="6" t="s">
        <v>51</v>
      </c>
      <c r="E53" s="6" t="s">
        <v>12</v>
      </c>
      <c r="F53" s="7">
        <v>47</v>
      </c>
      <c r="G53" s="7">
        <v>25000</v>
      </c>
      <c r="H53" s="7">
        <v>1175000</v>
      </c>
      <c r="I53" s="16" t="str">
        <f>IF(D53="",$P$5,"")</f>
        <v/>
      </c>
      <c r="J53" s="6" t="str">
        <f>IF(I53="",D53,I53)</f>
        <v>West</v>
      </c>
      <c r="K53" s="6" t="str" cm="1">
        <f t="array" ref="K53">_xlfn.IFS(AND(J53=$S$6,E53=""),$T$6,AND(J53=$S$17,E53=""),$T$17,AND(J53=$S$29,E53=""),$T$29,AND(J53=$S$41,E53=""),$T$41,TRUE,"")</f>
        <v/>
      </c>
      <c r="L53" s="22" t="str">
        <f>IF(K53="",E53,K53)</f>
        <v>Rohit</v>
      </c>
      <c r="M53" s="33"/>
      <c r="N53" s="33"/>
      <c r="O53" s="33"/>
      <c r="P53" s="33"/>
      <c r="Q53" s="33"/>
      <c r="R53" s="33"/>
      <c r="S53" s="28" t="s">
        <v>422</v>
      </c>
      <c r="T53" s="28"/>
      <c r="U53" s="35">
        <v>200</v>
      </c>
      <c r="V53" s="33"/>
    </row>
    <row r="54" spans="1:22">
      <c r="A54" s="26">
        <v>45732</v>
      </c>
      <c r="B54" s="6" t="s">
        <v>135</v>
      </c>
      <c r="C54" s="6" t="s">
        <v>23</v>
      </c>
      <c r="D54" s="6" t="s">
        <v>29</v>
      </c>
      <c r="E54" s="6" t="s">
        <v>33</v>
      </c>
      <c r="F54" s="7">
        <v>10</v>
      </c>
      <c r="G54" s="7">
        <v>800</v>
      </c>
      <c r="H54" s="7">
        <v>7346</v>
      </c>
      <c r="I54" s="16" t="str">
        <f>IF(D54="",$P$5,"")</f>
        <v/>
      </c>
      <c r="J54" s="6" t="str">
        <f>IF(I54="",D54,I54)</f>
        <v>East</v>
      </c>
      <c r="K54" s="6" t="str" cm="1">
        <f t="array" ref="K54">_xlfn.IFS(AND(J54=$S$6,E54=""),$T$6,AND(J54=$S$17,E54=""),$T$17,AND(J54=$S$29,E54=""),$T$29,AND(J54=$S$41,E54=""),$T$41,TRUE,"")</f>
        <v/>
      </c>
      <c r="L54" s="22" t="str">
        <f>IF(K54="",E54,K54)</f>
        <v>Karan</v>
      </c>
      <c r="M54" s="33"/>
      <c r="N54" s="33"/>
      <c r="O54" s="33"/>
      <c r="P54" s="33"/>
      <c r="Q54" s="33"/>
      <c r="R54" s="33"/>
      <c r="S54" s="33"/>
      <c r="T54" s="33"/>
      <c r="U54" s="33"/>
      <c r="V54" s="33"/>
    </row>
    <row r="55" spans="1:22">
      <c r="A55" s="26">
        <v>45815</v>
      </c>
      <c r="B55" s="6" t="s">
        <v>137</v>
      </c>
      <c r="C55" s="6" t="s">
        <v>10</v>
      </c>
      <c r="D55" s="6"/>
      <c r="E55" s="6" t="s">
        <v>16</v>
      </c>
      <c r="F55" s="7">
        <v>42</v>
      </c>
      <c r="G55" s="7">
        <v>15000</v>
      </c>
      <c r="H55" s="7">
        <v>630000</v>
      </c>
      <c r="I55" s="16" t="str">
        <f>IF(D55="",$P$5,"")</f>
        <v>South</v>
      </c>
      <c r="J55" s="6" t="str">
        <f>IF(I55="",D55,I55)</f>
        <v>South</v>
      </c>
      <c r="K55" s="6" t="str" cm="1">
        <f t="array" ref="K55">_xlfn.IFS(AND(J55=$S$6,E55=""),$T$6,AND(J55=$S$17,E55=""),$T$17,AND(J55=$S$29,E55=""),$T$29,AND(J55=$S$41,E55=""),$T$41,TRUE,"")</f>
        <v/>
      </c>
      <c r="L55" s="22" t="str">
        <f>IF(K55="",E55,K55)</f>
        <v>Amit</v>
      </c>
      <c r="M55" s="33"/>
      <c r="N55" s="33"/>
      <c r="O55" s="33"/>
      <c r="P55" s="33"/>
      <c r="Q55" s="33"/>
      <c r="R55" s="33"/>
      <c r="S55" s="33"/>
      <c r="T55" s="33"/>
      <c r="U55" s="33"/>
      <c r="V55" s="33"/>
    </row>
    <row r="56" spans="1:22">
      <c r="A56" s="26">
        <v>45751</v>
      </c>
      <c r="B56" s="6" t="s">
        <v>138</v>
      </c>
      <c r="C56" s="6" t="s">
        <v>23</v>
      </c>
      <c r="D56" s="6" t="s">
        <v>51</v>
      </c>
      <c r="E56" s="6" t="s">
        <v>61</v>
      </c>
      <c r="F56" s="7">
        <v>19</v>
      </c>
      <c r="G56" s="7">
        <v>800</v>
      </c>
      <c r="H56" s="7">
        <v>15200</v>
      </c>
      <c r="I56" s="16" t="str">
        <f>IF(D56="",$P$5,"")</f>
        <v/>
      </c>
      <c r="J56" s="6" t="str">
        <f>IF(I56="",D56,I56)</f>
        <v>West</v>
      </c>
      <c r="K56" s="6" t="str" cm="1">
        <f t="array" ref="K56">_xlfn.IFS(AND(J56=$S$6,E56=""),$T$6,AND(J56=$S$17,E56=""),$T$17,AND(J56=$S$29,E56=""),$T$29,AND(J56=$S$41,E56=""),$T$41,TRUE,"")</f>
        <v/>
      </c>
      <c r="L56" s="22" t="str">
        <f>IF(K56="",E56,K56)</f>
        <v>Priya</v>
      </c>
      <c r="M56" s="33"/>
      <c r="N56" s="33"/>
      <c r="O56" s="33"/>
      <c r="P56" s="33"/>
      <c r="Q56" s="33"/>
      <c r="R56" s="33"/>
      <c r="S56" s="33"/>
      <c r="T56" s="33"/>
      <c r="U56" s="33"/>
      <c r="V56" s="33"/>
    </row>
    <row r="57" spans="1:22">
      <c r="A57" s="26">
        <v>45686</v>
      </c>
      <c r="B57" s="6" t="s">
        <v>140</v>
      </c>
      <c r="C57" s="6" t="s">
        <v>15</v>
      </c>
      <c r="D57" s="6"/>
      <c r="E57" s="6"/>
      <c r="F57" s="7">
        <v>49</v>
      </c>
      <c r="G57" s="7">
        <v>50000</v>
      </c>
      <c r="H57" s="7">
        <v>2450000</v>
      </c>
      <c r="I57" s="16" t="str">
        <f>IF(D57="",$P$5,"")</f>
        <v>South</v>
      </c>
      <c r="J57" s="6" t="str">
        <f>IF(I57="",D57,I57)</f>
        <v>South</v>
      </c>
      <c r="K57" s="6" t="str" cm="1">
        <f t="array" ref="K57">_xlfn.IFS(AND(J57=$S$6,E57=""),$T$6,AND(J57=$S$17,E57=""),$T$17,AND(J57=$S$29,E57=""),$T$29,AND(J57=$S$41,E57=""),$T$41,TRUE,"")</f>
        <v>Sonia</v>
      </c>
      <c r="L57" s="22" t="str">
        <f>IF(K57="",E57,K57)</f>
        <v>Sonia</v>
      </c>
      <c r="M57" s="33"/>
      <c r="N57" s="33"/>
      <c r="O57" s="33"/>
      <c r="P57" s="33"/>
      <c r="Q57" s="33"/>
      <c r="R57" s="33"/>
      <c r="S57" s="33"/>
      <c r="T57" s="33"/>
      <c r="U57" s="33"/>
      <c r="V57" s="33"/>
    </row>
    <row r="58" spans="1:22">
      <c r="A58" s="26">
        <v>45819</v>
      </c>
      <c r="B58" s="6" t="s">
        <v>142</v>
      </c>
      <c r="C58" s="6" t="s">
        <v>143</v>
      </c>
      <c r="D58" s="6" t="s">
        <v>29</v>
      </c>
      <c r="E58" s="6" t="s">
        <v>12</v>
      </c>
      <c r="F58" s="7">
        <v>14</v>
      </c>
      <c r="G58" s="7">
        <v>15000</v>
      </c>
      <c r="H58" s="7">
        <v>210000</v>
      </c>
      <c r="I58" s="16" t="str">
        <f>IF(D58="",$P$5,"")</f>
        <v/>
      </c>
      <c r="J58" s="6" t="str">
        <f>IF(I58="",D58,I58)</f>
        <v>East</v>
      </c>
      <c r="K58" s="6" t="str" cm="1">
        <f t="array" ref="K58">_xlfn.IFS(AND(J58=$S$6,E58=""),$T$6,AND(J58=$S$17,E58=""),$T$17,AND(J58=$S$29,E58=""),$T$29,AND(J58=$S$41,E58=""),$T$41,TRUE,"")</f>
        <v/>
      </c>
      <c r="L58" s="22" t="str">
        <f>IF(K58="",E58,K58)</f>
        <v>Rohit</v>
      </c>
      <c r="M58" s="33"/>
      <c r="N58" s="33"/>
      <c r="O58" s="33"/>
      <c r="P58" s="33"/>
      <c r="Q58" s="33"/>
      <c r="R58" s="33"/>
      <c r="S58" s="33"/>
      <c r="T58" s="33"/>
      <c r="U58" s="33"/>
      <c r="V58" s="33"/>
    </row>
    <row r="59" spans="1:22">
      <c r="A59" s="26">
        <v>45804</v>
      </c>
      <c r="B59" s="6" t="s">
        <v>145</v>
      </c>
      <c r="C59" s="6" t="s">
        <v>23</v>
      </c>
      <c r="D59" s="6" t="s">
        <v>51</v>
      </c>
      <c r="E59" s="6" t="s">
        <v>20</v>
      </c>
      <c r="F59" s="7">
        <v>10</v>
      </c>
      <c r="G59" s="7">
        <v>1200</v>
      </c>
      <c r="H59" s="7">
        <v>12000</v>
      </c>
      <c r="I59" s="16" t="str">
        <f>IF(D59="",$P$5,"")</f>
        <v/>
      </c>
      <c r="J59" s="6" t="str">
        <f>IF(I59="",D59,I59)</f>
        <v>West</v>
      </c>
      <c r="K59" s="6" t="str" cm="1">
        <f t="array" ref="K59">_xlfn.IFS(AND(J59=$S$6,E59=""),$T$6,AND(J59=$S$17,E59=""),$T$17,AND(J59=$S$29,E59=""),$T$29,AND(J59=$S$41,E59=""),$T$41,TRUE,"")</f>
        <v/>
      </c>
      <c r="L59" s="22" t="str">
        <f>IF(K59="",E59,K59)</f>
        <v>Sonia</v>
      </c>
      <c r="M59" s="33"/>
      <c r="N59" s="33"/>
      <c r="O59" s="33"/>
      <c r="P59" s="33"/>
      <c r="Q59" s="33"/>
      <c r="R59" s="33"/>
      <c r="S59" s="33"/>
      <c r="T59" s="33"/>
      <c r="U59" s="33"/>
      <c r="V59" s="33"/>
    </row>
    <row r="60" spans="1:22">
      <c r="A60" s="26">
        <v>45734</v>
      </c>
      <c r="B60" s="6" t="s">
        <v>147</v>
      </c>
      <c r="C60" s="6" t="s">
        <v>19</v>
      </c>
      <c r="D60" s="6" t="s">
        <v>24</v>
      </c>
      <c r="E60" s="6" t="s">
        <v>20</v>
      </c>
      <c r="F60" s="7">
        <v>24</v>
      </c>
      <c r="G60" s="7">
        <v>30000</v>
      </c>
      <c r="H60" s="7">
        <v>720000</v>
      </c>
      <c r="I60" s="16" t="str">
        <f>IF(D60="",$P$5,"")</f>
        <v/>
      </c>
      <c r="J60" s="6" t="str">
        <f>IF(I60="",D60,I60)</f>
        <v>North</v>
      </c>
      <c r="K60" s="6" t="str" cm="1">
        <f t="array" ref="K60">_xlfn.IFS(AND(J60=$S$6,E60=""),$T$6,AND(J60=$S$17,E60=""),$T$17,AND(J60=$S$29,E60=""),$T$29,AND(J60=$S$41,E60=""),$T$41,TRUE,"")</f>
        <v/>
      </c>
      <c r="L60" s="22" t="str">
        <f>IF(K60="",E60,K60)</f>
        <v>Sonia</v>
      </c>
      <c r="M60" s="33"/>
      <c r="N60" s="33"/>
      <c r="O60" s="33"/>
      <c r="P60" s="33"/>
      <c r="Q60" s="33"/>
      <c r="R60" s="33"/>
      <c r="S60" s="33"/>
      <c r="T60" s="33"/>
      <c r="U60" s="33"/>
      <c r="V60" s="33"/>
    </row>
    <row r="61" spans="1:22">
      <c r="A61" s="26">
        <v>45711</v>
      </c>
      <c r="B61" s="6" t="s">
        <v>149</v>
      </c>
      <c r="C61" s="6" t="s">
        <v>10</v>
      </c>
      <c r="D61" s="6" t="s">
        <v>51</v>
      </c>
      <c r="E61" s="6" t="s">
        <v>20</v>
      </c>
      <c r="F61" s="7">
        <v>23</v>
      </c>
      <c r="G61" s="7">
        <v>25000</v>
      </c>
      <c r="H61" s="7">
        <v>575000</v>
      </c>
      <c r="I61" s="16" t="str">
        <f>IF(D61="",$P$5,"")</f>
        <v/>
      </c>
      <c r="J61" s="6" t="str">
        <f>IF(I61="",D61,I61)</f>
        <v>West</v>
      </c>
      <c r="K61" s="6" t="str" cm="1">
        <f t="array" ref="K61">_xlfn.IFS(AND(J61=$S$6,E61=""),$T$6,AND(J61=$S$17,E61=""),$T$17,AND(J61=$S$29,E61=""),$T$29,AND(J61=$S$41,E61=""),$T$41,TRUE,"")</f>
        <v/>
      </c>
      <c r="L61" s="22" t="str">
        <f>IF(K61="",E61,K61)</f>
        <v>Sonia</v>
      </c>
      <c r="M61" s="33"/>
      <c r="N61" s="33"/>
      <c r="O61" s="33"/>
      <c r="P61" s="33"/>
      <c r="Q61" s="33"/>
      <c r="R61" s="33"/>
      <c r="S61" s="33"/>
      <c r="T61" s="33"/>
      <c r="U61" s="33"/>
      <c r="V61" s="33"/>
    </row>
    <row r="62" spans="1:22">
      <c r="A62" s="26">
        <v>45693</v>
      </c>
      <c r="B62" s="6" t="s">
        <v>150</v>
      </c>
      <c r="C62" s="6" t="s">
        <v>10</v>
      </c>
      <c r="D62" s="6" t="s">
        <v>51</v>
      </c>
      <c r="E62" s="6" t="s">
        <v>72</v>
      </c>
      <c r="F62" s="7">
        <v>7</v>
      </c>
      <c r="G62" s="7">
        <v>25000</v>
      </c>
      <c r="H62" s="7">
        <v>175000</v>
      </c>
      <c r="I62" s="16" t="str">
        <f>IF(D62="",$P$5,"")</f>
        <v/>
      </c>
      <c r="J62" s="6" t="str">
        <f>IF(I62="",D62,I62)</f>
        <v>West</v>
      </c>
      <c r="K62" s="6" t="str" cm="1">
        <f t="array" ref="K62">_xlfn.IFS(AND(J62=$S$6,E62=""),$T$6,AND(J62=$S$17,E62=""),$T$17,AND(J62=$S$29,E62=""),$T$29,AND(J62=$S$41,E62=""),$T$41,TRUE,"")</f>
        <v/>
      </c>
      <c r="L62" s="22" t="str">
        <f>IF(K62="",E62,K62)</f>
        <v>Vivek</v>
      </c>
      <c r="M62" s="33"/>
      <c r="N62" s="33"/>
      <c r="O62" s="33"/>
      <c r="P62" s="33"/>
      <c r="Q62" s="33"/>
      <c r="R62" s="33"/>
      <c r="S62" s="33"/>
      <c r="T62" s="33"/>
      <c r="U62" s="33"/>
      <c r="V62" s="33"/>
    </row>
    <row r="63" spans="1:22">
      <c r="A63" s="26">
        <v>45769</v>
      </c>
      <c r="B63" s="6" t="s">
        <v>152</v>
      </c>
      <c r="C63" s="6" t="s">
        <v>19</v>
      </c>
      <c r="D63" s="6" t="s">
        <v>411</v>
      </c>
      <c r="E63" s="6" t="s">
        <v>38</v>
      </c>
      <c r="F63" s="7">
        <v>48</v>
      </c>
      <c r="G63" s="7">
        <v>25000</v>
      </c>
      <c r="H63" s="7">
        <v>1200000</v>
      </c>
      <c r="I63" s="16" t="str">
        <f>IF(D63="",$P$5,"")</f>
        <v>South</v>
      </c>
      <c r="J63" s="6" t="str">
        <f>IF(I63="",D63,I63)</f>
        <v>South</v>
      </c>
      <c r="K63" s="6" t="str" cm="1">
        <f t="array" ref="K63">_xlfn.IFS(AND(J63=$S$6,E63=""),$T$6,AND(J63=$S$17,E63=""),$T$17,AND(J63=$S$29,E63=""),$T$29,AND(J63=$S$41,E63=""),$T$41,TRUE,"")</f>
        <v/>
      </c>
      <c r="L63" s="22" t="str">
        <f>IF(K63="",E63,K63)</f>
        <v>Tina</v>
      </c>
      <c r="M63" s="33"/>
      <c r="N63" s="33"/>
      <c r="O63" s="33"/>
      <c r="P63" s="33"/>
      <c r="Q63" s="33"/>
      <c r="R63" s="33"/>
      <c r="S63" s="33"/>
      <c r="T63" s="33"/>
      <c r="U63" s="33"/>
      <c r="V63" s="33"/>
    </row>
    <row r="64" spans="1:22">
      <c r="A64" s="26">
        <v>45875</v>
      </c>
      <c r="B64" s="6" t="s">
        <v>154</v>
      </c>
      <c r="C64" s="6" t="s">
        <v>23</v>
      </c>
      <c r="D64" s="6" t="s">
        <v>51</v>
      </c>
      <c r="E64" s="6" t="s">
        <v>20</v>
      </c>
      <c r="F64" s="7">
        <v>14</v>
      </c>
      <c r="G64" s="7">
        <v>1200</v>
      </c>
      <c r="H64" s="7">
        <v>16800</v>
      </c>
      <c r="I64" s="16" t="str">
        <f>IF(D64="",$P$5,"")</f>
        <v/>
      </c>
      <c r="J64" s="6" t="str">
        <f>IF(I64="",D64,I64)</f>
        <v>West</v>
      </c>
      <c r="K64" s="6" t="str" cm="1">
        <f t="array" ref="K64">_xlfn.IFS(AND(J64=$S$6,E64=""),$T$6,AND(J64=$S$17,E64=""),$T$17,AND(J64=$S$29,E64=""),$T$29,AND(J64=$S$41,E64=""),$T$41,TRUE,"")</f>
        <v/>
      </c>
      <c r="L64" s="22" t="str">
        <f>IF(K64="",E64,K64)</f>
        <v>Sonia</v>
      </c>
      <c r="M64" s="33"/>
      <c r="N64" s="33"/>
      <c r="O64" s="33"/>
      <c r="P64" s="33"/>
      <c r="Q64" s="33"/>
      <c r="R64" s="33"/>
      <c r="S64" s="33"/>
      <c r="T64" s="33"/>
      <c r="U64" s="33"/>
      <c r="V64" s="33"/>
    </row>
    <row r="65" spans="1:22">
      <c r="A65" s="26">
        <v>45803</v>
      </c>
      <c r="B65" s="6" t="s">
        <v>156</v>
      </c>
      <c r="C65" s="6" t="s">
        <v>15</v>
      </c>
      <c r="D65" s="6" t="s">
        <v>24</v>
      </c>
      <c r="E65" s="6" t="s">
        <v>30</v>
      </c>
      <c r="F65" s="7">
        <v>21</v>
      </c>
      <c r="G65" s="7">
        <v>30000</v>
      </c>
      <c r="H65" s="7">
        <v>630000</v>
      </c>
      <c r="I65" s="16" t="str">
        <f>IF(D65="",$P$5,"")</f>
        <v/>
      </c>
      <c r="J65" s="6" t="str">
        <f>IF(I65="",D65,I65)</f>
        <v>North</v>
      </c>
      <c r="K65" s="6" t="str" cm="1">
        <f t="array" ref="K65">_xlfn.IFS(AND(J65=$S$6,E65=""),$T$6,AND(J65=$S$17,E65=""),$T$17,AND(J65=$S$29,E65=""),$T$29,AND(J65=$S$41,E65=""),$T$41,TRUE,"")</f>
        <v/>
      </c>
      <c r="L65" s="22" t="str">
        <f>IF(K65="",E65,K65)</f>
        <v>Riya</v>
      </c>
      <c r="M65" s="33"/>
      <c r="N65" s="33"/>
      <c r="O65" s="33"/>
      <c r="P65" s="33"/>
      <c r="Q65" s="33"/>
      <c r="R65" s="33"/>
      <c r="S65" s="33"/>
      <c r="T65" s="33"/>
      <c r="U65" s="33"/>
      <c r="V65" s="33"/>
    </row>
    <row r="66" spans="1:22">
      <c r="A66" s="26">
        <v>45658</v>
      </c>
      <c r="B66" s="6" t="s">
        <v>158</v>
      </c>
      <c r="C66" s="6" t="s">
        <v>10</v>
      </c>
      <c r="D66" s="6" t="s">
        <v>24</v>
      </c>
      <c r="E66" s="6" t="s">
        <v>33</v>
      </c>
      <c r="F66" s="7">
        <v>31</v>
      </c>
      <c r="G66" s="7">
        <v>1200</v>
      </c>
      <c r="H66" s="7">
        <v>37200</v>
      </c>
      <c r="I66" s="16" t="str">
        <f>IF(D66="",$P$5,"")</f>
        <v/>
      </c>
      <c r="J66" s="6" t="str">
        <f>IF(I66="",D66,I66)</f>
        <v>North</v>
      </c>
      <c r="K66" s="6" t="str" cm="1">
        <f t="array" ref="K66">_xlfn.IFS(AND(J66=$S$6,E66=""),$T$6,AND(J66=$S$17,E66=""),$T$17,AND(J66=$S$29,E66=""),$T$29,AND(J66=$S$41,E66=""),$T$41,TRUE,"")</f>
        <v/>
      </c>
      <c r="L66" s="22" t="str">
        <f>IF(K66="",E66,K66)</f>
        <v>Karan</v>
      </c>
      <c r="M66" s="33"/>
      <c r="N66" s="33"/>
      <c r="O66" s="33"/>
      <c r="P66" s="33"/>
      <c r="Q66" s="33"/>
      <c r="R66" s="33"/>
      <c r="S66" s="33"/>
      <c r="T66" s="33"/>
      <c r="U66" s="33"/>
      <c r="V66" s="33"/>
    </row>
    <row r="67" spans="1:22">
      <c r="A67" s="26">
        <v>45703</v>
      </c>
      <c r="B67" s="6" t="s">
        <v>159</v>
      </c>
      <c r="C67" s="6" t="s">
        <v>23</v>
      </c>
      <c r="D67" s="6" t="s">
        <v>51</v>
      </c>
      <c r="E67" s="6" t="s">
        <v>20</v>
      </c>
      <c r="F67" s="7">
        <v>44</v>
      </c>
      <c r="G67" s="7">
        <v>30000</v>
      </c>
      <c r="H67" s="7">
        <v>1320000</v>
      </c>
      <c r="I67" s="16" t="str">
        <f>IF(D67="",$P$5,"")</f>
        <v/>
      </c>
      <c r="J67" s="6" t="str">
        <f>IF(I67="",D67,I67)</f>
        <v>West</v>
      </c>
      <c r="K67" s="6" t="str" cm="1">
        <f t="array" ref="K67">_xlfn.IFS(AND(J67=$S$6,E67=""),$T$6,AND(J67=$S$17,E67=""),$T$17,AND(J67=$S$29,E67=""),$T$29,AND(J67=$S$41,E67=""),$T$41,TRUE,"")</f>
        <v/>
      </c>
      <c r="L67" s="22" t="str">
        <f>IF(K67="",E67,K67)</f>
        <v>Sonia</v>
      </c>
      <c r="M67" s="33"/>
      <c r="N67" s="33"/>
      <c r="O67" s="33"/>
      <c r="P67" s="33"/>
      <c r="Q67" s="33"/>
      <c r="R67" s="33"/>
      <c r="S67" s="33"/>
      <c r="T67" s="33"/>
      <c r="U67" s="33"/>
      <c r="V67" s="33"/>
    </row>
    <row r="68" spans="1:22">
      <c r="A68" s="26">
        <v>45781</v>
      </c>
      <c r="B68" s="6" t="s">
        <v>161</v>
      </c>
      <c r="C68" s="6" t="s">
        <v>23</v>
      </c>
      <c r="D68" s="6" t="s">
        <v>11</v>
      </c>
      <c r="E68" s="6" t="s">
        <v>25</v>
      </c>
      <c r="F68" s="7">
        <v>15</v>
      </c>
      <c r="G68" s="7">
        <v>30000</v>
      </c>
      <c r="H68" s="7">
        <v>450000</v>
      </c>
      <c r="I68" s="16" t="str">
        <f>IF(D68="",$P$5,"")</f>
        <v/>
      </c>
      <c r="J68" s="6" t="str">
        <f>IF(I68="",D68,I68)</f>
        <v>South</v>
      </c>
      <c r="K68" s="6" t="str" cm="1">
        <f t="array" ref="K68">_xlfn.IFS(AND(J68=$S$6,E68=""),$T$6,AND(J68=$S$17,E68=""),$T$17,AND(J68=$S$29,E68=""),$T$29,AND(J68=$S$41,E68=""),$T$41,TRUE,"")</f>
        <v/>
      </c>
      <c r="L68" s="22" t="str">
        <f>IF(K68="",E68,K68)</f>
        <v>Neha</v>
      </c>
      <c r="M68" s="33"/>
      <c r="N68" s="33"/>
      <c r="O68" s="33"/>
      <c r="P68" s="33"/>
      <c r="Q68" s="33"/>
      <c r="R68" s="33"/>
      <c r="S68" s="33"/>
      <c r="T68" s="33"/>
      <c r="U68" s="33"/>
      <c r="V68" s="33"/>
    </row>
    <row r="69" spans="1:22">
      <c r="A69" s="26">
        <v>45786</v>
      </c>
      <c r="B69" s="6" t="s">
        <v>163</v>
      </c>
      <c r="C69" s="6" t="s">
        <v>19</v>
      </c>
      <c r="D69" s="6" t="s">
        <v>11</v>
      </c>
      <c r="E69" s="6" t="s">
        <v>38</v>
      </c>
      <c r="F69" s="7">
        <v>8</v>
      </c>
      <c r="G69" s="7">
        <v>15000</v>
      </c>
      <c r="H69" s="7">
        <v>120000</v>
      </c>
      <c r="I69" s="16" t="str">
        <f>IF(D69="",$P$5,"")</f>
        <v/>
      </c>
      <c r="J69" s="6" t="str">
        <f>IF(I69="",D69,I69)</f>
        <v>South</v>
      </c>
      <c r="K69" s="6" t="str" cm="1">
        <f t="array" ref="K69">_xlfn.IFS(AND(J69=$S$6,E69=""),$T$6,AND(J69=$S$17,E69=""),$T$17,AND(J69=$S$29,E69=""),$T$29,AND(J69=$S$41,E69=""),$T$41,TRUE,"")</f>
        <v/>
      </c>
      <c r="L69" s="22" t="str">
        <f>IF(K69="",E69,K69)</f>
        <v>Tina</v>
      </c>
      <c r="M69" s="33"/>
      <c r="N69" s="33"/>
      <c r="O69" s="33"/>
      <c r="P69" s="33"/>
      <c r="Q69" s="33"/>
      <c r="R69" s="33"/>
      <c r="S69" s="33"/>
      <c r="T69" s="33"/>
      <c r="U69" s="33"/>
      <c r="V69" s="33"/>
    </row>
    <row r="70" spans="1:22">
      <c r="A70" s="26">
        <v>45664</v>
      </c>
      <c r="B70" s="6" t="s">
        <v>165</v>
      </c>
      <c r="C70" s="6" t="s">
        <v>116</v>
      </c>
      <c r="D70" s="6" t="s">
        <v>11</v>
      </c>
      <c r="E70" s="6" t="s">
        <v>61</v>
      </c>
      <c r="F70" s="7">
        <v>5</v>
      </c>
      <c r="G70" s="7">
        <v>25000</v>
      </c>
      <c r="H70" s="7">
        <v>125000</v>
      </c>
      <c r="I70" s="16" t="str">
        <f>IF(D70="",$P$5,"")</f>
        <v/>
      </c>
      <c r="J70" s="6" t="str">
        <f>IF(I70="",D70,I70)</f>
        <v>South</v>
      </c>
      <c r="K70" s="6" t="str" cm="1">
        <f t="array" ref="K70">_xlfn.IFS(AND(J70=$S$6,E70=""),$T$6,AND(J70=$S$17,E70=""),$T$17,AND(J70=$S$29,E70=""),$T$29,AND(J70=$S$41,E70=""),$T$41,TRUE,"")</f>
        <v/>
      </c>
      <c r="L70" s="22" t="str">
        <f>IF(K70="",E70,K70)</f>
        <v>Priya</v>
      </c>
      <c r="M70" s="33"/>
      <c r="N70" s="33"/>
      <c r="O70" s="33"/>
      <c r="P70" s="33"/>
      <c r="Q70" s="33"/>
      <c r="R70" s="33"/>
      <c r="S70" s="33"/>
      <c r="T70" s="33"/>
      <c r="U70" s="33"/>
      <c r="V70" s="33"/>
    </row>
    <row r="71" spans="1:22">
      <c r="A71" s="26">
        <v>45826</v>
      </c>
      <c r="B71" s="6" t="s">
        <v>167</v>
      </c>
      <c r="C71" s="6" t="s">
        <v>10</v>
      </c>
      <c r="D71" s="6"/>
      <c r="E71" s="6" t="s">
        <v>25</v>
      </c>
      <c r="F71" s="7">
        <v>27</v>
      </c>
      <c r="G71" s="7">
        <v>15000</v>
      </c>
      <c r="H71" s="7">
        <v>405000</v>
      </c>
      <c r="I71" s="16" t="str">
        <f>IF(D71="",$P$5,"")</f>
        <v>South</v>
      </c>
      <c r="J71" s="6" t="str">
        <f>IF(I71="",D71,I71)</f>
        <v>South</v>
      </c>
      <c r="K71" s="6" t="str" cm="1">
        <f t="array" ref="K71">_xlfn.IFS(AND(J71=$S$6,E71=""),$T$6,AND(J71=$S$17,E71=""),$T$17,AND(J71=$S$29,E71=""),$T$29,AND(J71=$S$41,E71=""),$T$41,TRUE,"")</f>
        <v/>
      </c>
      <c r="L71" s="22" t="str">
        <f>IF(K71="",E71,K71)</f>
        <v>Neha</v>
      </c>
      <c r="M71" s="33"/>
      <c r="N71" s="33"/>
      <c r="O71" s="33"/>
      <c r="P71" s="33"/>
      <c r="Q71" s="33"/>
      <c r="R71" s="33"/>
      <c r="S71" s="33"/>
      <c r="T71" s="33"/>
      <c r="U71" s="33"/>
      <c r="V71" s="33"/>
    </row>
    <row r="72" spans="1:22">
      <c r="A72" s="26">
        <v>45672</v>
      </c>
      <c r="B72" s="6" t="s">
        <v>169</v>
      </c>
      <c r="C72" s="6" t="s">
        <v>15</v>
      </c>
      <c r="D72" s="6" t="s">
        <v>11</v>
      </c>
      <c r="E72" s="6" t="s">
        <v>46</v>
      </c>
      <c r="F72" s="7">
        <v>17</v>
      </c>
      <c r="G72" s="7">
        <v>25000</v>
      </c>
      <c r="H72" s="7">
        <v>425000</v>
      </c>
      <c r="I72" s="16" t="str">
        <f>IF(D72="",$P$5,"")</f>
        <v/>
      </c>
      <c r="J72" s="6" t="str">
        <f>IF(I72="",D72,I72)</f>
        <v>South</v>
      </c>
      <c r="K72" s="6" t="str" cm="1">
        <f t="array" ref="K72">_xlfn.IFS(AND(J72=$S$6,E72=""),$T$6,AND(J72=$S$17,E72=""),$T$17,AND(J72=$S$29,E72=""),$T$29,AND(J72=$S$41,E72=""),$T$41,TRUE,"")</f>
        <v/>
      </c>
      <c r="L72" s="22" t="str">
        <f>IF(K72="",E72,K72)</f>
        <v>Manish</v>
      </c>
      <c r="M72" s="33"/>
      <c r="N72" s="33"/>
      <c r="O72" s="33"/>
      <c r="P72" s="33"/>
      <c r="Q72" s="33"/>
      <c r="R72" s="33"/>
      <c r="S72" s="33"/>
      <c r="T72" s="33"/>
      <c r="U72" s="33"/>
      <c r="V72" s="33"/>
    </row>
    <row r="73" spans="1:22">
      <c r="A73" s="26">
        <v>45692</v>
      </c>
      <c r="B73" s="6" t="s">
        <v>171</v>
      </c>
      <c r="C73" s="6" t="s">
        <v>23</v>
      </c>
      <c r="D73" s="6" t="s">
        <v>11</v>
      </c>
      <c r="E73" s="6" t="s">
        <v>61</v>
      </c>
      <c r="F73" s="7">
        <v>8</v>
      </c>
      <c r="G73" s="7">
        <v>25000</v>
      </c>
      <c r="H73" s="7">
        <v>200000</v>
      </c>
      <c r="I73" s="16" t="str">
        <f>IF(D73="",$P$5,"")</f>
        <v/>
      </c>
      <c r="J73" s="6" t="str">
        <f>IF(I73="",D73,I73)</f>
        <v>South</v>
      </c>
      <c r="K73" s="6" t="str" cm="1">
        <f t="array" ref="K73">_xlfn.IFS(AND(J73=$S$6,E73=""),$T$6,AND(J73=$S$17,E73=""),$T$17,AND(J73=$S$29,E73=""),$T$29,AND(J73=$S$41,E73=""),$T$41,TRUE,"")</f>
        <v/>
      </c>
      <c r="L73" s="22" t="str">
        <f>IF(K73="",E73,K73)</f>
        <v>Priya</v>
      </c>
      <c r="M73" s="33"/>
      <c r="N73" s="33"/>
      <c r="O73" s="33"/>
      <c r="P73" s="33"/>
      <c r="Q73" s="33"/>
      <c r="R73" s="33"/>
      <c r="S73" s="33"/>
      <c r="T73" s="33"/>
      <c r="U73" s="33"/>
      <c r="V73" s="33"/>
    </row>
    <row r="74" spans="1:22">
      <c r="A74" s="26">
        <v>45765</v>
      </c>
      <c r="B74" s="6" t="s">
        <v>173</v>
      </c>
      <c r="C74" s="6" t="s">
        <v>10</v>
      </c>
      <c r="D74" s="6" t="s">
        <v>11</v>
      </c>
      <c r="E74" s="6" t="s">
        <v>61</v>
      </c>
      <c r="F74" s="7">
        <v>2</v>
      </c>
      <c r="G74" s="7">
        <v>50000</v>
      </c>
      <c r="H74" s="7">
        <v>100000</v>
      </c>
      <c r="I74" s="16" t="str">
        <f>IF(D74="",$P$5,"")</f>
        <v/>
      </c>
      <c r="J74" s="6" t="str">
        <f>IF(I74="",D74,I74)</f>
        <v>South</v>
      </c>
      <c r="K74" s="6" t="str" cm="1">
        <f t="array" ref="K74">_xlfn.IFS(AND(J74=$S$6,E74=""),$T$6,AND(J74=$S$17,E74=""),$T$17,AND(J74=$S$29,E74=""),$T$29,AND(J74=$S$41,E74=""),$T$41,TRUE,"")</f>
        <v/>
      </c>
      <c r="L74" s="22" t="str">
        <f>IF(K74="",E74,K74)</f>
        <v>Priya</v>
      </c>
      <c r="M74" s="33"/>
      <c r="N74" s="33"/>
      <c r="O74" s="33"/>
      <c r="P74" s="33"/>
      <c r="Q74" s="33"/>
      <c r="R74" s="33"/>
      <c r="S74" s="33"/>
      <c r="T74" s="33"/>
      <c r="U74" s="33"/>
      <c r="V74" s="33"/>
    </row>
    <row r="75" spans="1:22">
      <c r="A75" s="26">
        <v>45684</v>
      </c>
      <c r="B75" s="6" t="s">
        <v>175</v>
      </c>
      <c r="C75" s="6" t="s">
        <v>19</v>
      </c>
      <c r="D75" s="6"/>
      <c r="E75" s="6" t="s">
        <v>20</v>
      </c>
      <c r="F75" s="7">
        <v>40</v>
      </c>
      <c r="G75" s="7">
        <v>1200</v>
      </c>
      <c r="H75" s="7">
        <v>48000</v>
      </c>
      <c r="I75" s="16" t="str">
        <f>IF(D75="",$P$5,"")</f>
        <v>South</v>
      </c>
      <c r="J75" s="6" t="str">
        <f>IF(I75="",D75,I75)</f>
        <v>South</v>
      </c>
      <c r="K75" s="6" t="str" cm="1">
        <f t="array" ref="K75">_xlfn.IFS(AND(J75=$S$6,E75=""),$T$6,AND(J75=$S$17,E75=""),$T$17,AND(J75=$S$29,E75=""),$T$29,AND(J75=$S$41,E75=""),$T$41,TRUE,"")</f>
        <v/>
      </c>
      <c r="L75" s="22" t="str">
        <f>IF(K75="",E75,K75)</f>
        <v>Sonia</v>
      </c>
      <c r="M75" s="33"/>
      <c r="N75" s="33"/>
      <c r="O75" s="33"/>
      <c r="P75" s="33"/>
      <c r="Q75" s="33"/>
      <c r="R75" s="33"/>
      <c r="S75" s="33"/>
      <c r="T75" s="33"/>
      <c r="U75" s="33"/>
      <c r="V75" s="33"/>
    </row>
    <row r="76" spans="1:22">
      <c r="A76" s="26">
        <v>45783</v>
      </c>
      <c r="B76" s="6" t="s">
        <v>178</v>
      </c>
      <c r="C76" s="6" t="s">
        <v>10</v>
      </c>
      <c r="D76" s="6" t="s">
        <v>51</v>
      </c>
      <c r="E76" s="6" t="s">
        <v>72</v>
      </c>
      <c r="F76" s="7">
        <v>34</v>
      </c>
      <c r="G76" s="7">
        <v>800</v>
      </c>
      <c r="H76" s="7">
        <v>27200</v>
      </c>
      <c r="I76" s="16" t="str">
        <f>IF(D76="",$P$5,"")</f>
        <v/>
      </c>
      <c r="J76" s="6" t="str">
        <f>IF(I76="",D76,I76)</f>
        <v>West</v>
      </c>
      <c r="K76" s="6" t="str" cm="1">
        <f t="array" ref="K76">_xlfn.IFS(AND(J76=$S$6,E76=""),$T$6,AND(J76=$S$17,E76=""),$T$17,AND(J76=$S$29,E76=""),$T$29,AND(J76=$S$41,E76=""),$T$41,TRUE,"")</f>
        <v/>
      </c>
      <c r="L76" s="22" t="str">
        <f>IF(K76="",E76,K76)</f>
        <v>Vivek</v>
      </c>
      <c r="M76" s="33"/>
      <c r="N76" s="33"/>
      <c r="O76" s="33"/>
      <c r="P76" s="33"/>
      <c r="Q76" s="33"/>
      <c r="R76" s="33"/>
      <c r="S76" s="33"/>
      <c r="T76" s="33"/>
      <c r="U76" s="33"/>
      <c r="V76" s="33"/>
    </row>
    <row r="77" spans="1:22">
      <c r="A77" s="26">
        <v>45701</v>
      </c>
      <c r="B77" s="6" t="s">
        <v>180</v>
      </c>
      <c r="C77" s="6" t="s">
        <v>23</v>
      </c>
      <c r="D77" s="6" t="s">
        <v>29</v>
      </c>
      <c r="E77" s="6" t="s">
        <v>38</v>
      </c>
      <c r="F77" s="7">
        <v>33</v>
      </c>
      <c r="G77" s="7">
        <v>25000</v>
      </c>
      <c r="H77" s="7">
        <v>825000</v>
      </c>
      <c r="I77" s="16" t="str">
        <f>IF(D77="",$P$5,"")</f>
        <v/>
      </c>
      <c r="J77" s="6" t="str">
        <f>IF(I77="",D77,I77)</f>
        <v>East</v>
      </c>
      <c r="K77" s="6" t="str" cm="1">
        <f t="array" ref="K77">_xlfn.IFS(AND(J77=$S$6,E77=""),$T$6,AND(J77=$S$17,E77=""),$T$17,AND(J77=$S$29,E77=""),$T$29,AND(J77=$S$41,E77=""),$T$41,TRUE,"")</f>
        <v/>
      </c>
      <c r="L77" s="22" t="str">
        <f>IF(K77="",E77,K77)</f>
        <v>Tina</v>
      </c>
      <c r="M77" s="33"/>
      <c r="N77" s="33"/>
      <c r="O77" s="33"/>
      <c r="P77" s="33"/>
      <c r="Q77" s="33"/>
      <c r="R77" s="33"/>
      <c r="S77" s="33"/>
      <c r="T77" s="33"/>
      <c r="U77" s="33"/>
      <c r="V77" s="33"/>
    </row>
    <row r="78" spans="1:22">
      <c r="A78" s="26">
        <v>45788</v>
      </c>
      <c r="B78" s="6" t="s">
        <v>182</v>
      </c>
      <c r="C78" s="6" t="s">
        <v>15</v>
      </c>
      <c r="D78" s="6" t="s">
        <v>24</v>
      </c>
      <c r="E78" s="6" t="s">
        <v>12</v>
      </c>
      <c r="F78" s="7">
        <v>34</v>
      </c>
      <c r="G78" s="7">
        <v>1200</v>
      </c>
      <c r="H78" s="7">
        <v>40800</v>
      </c>
      <c r="I78" s="16" t="str">
        <f>IF(D78="",$P$5,"")</f>
        <v/>
      </c>
      <c r="J78" s="6" t="str">
        <f>IF(I78="",D78,I78)</f>
        <v>North</v>
      </c>
      <c r="K78" s="6" t="str" cm="1">
        <f t="array" ref="K78">_xlfn.IFS(AND(J78=$S$6,E78=""),$T$6,AND(J78=$S$17,E78=""),$T$17,AND(J78=$S$29,E78=""),$T$29,AND(J78=$S$41,E78=""),$T$41,TRUE,"")</f>
        <v/>
      </c>
      <c r="L78" s="22" t="str">
        <f>IF(K78="",E78,K78)</f>
        <v>Rohit</v>
      </c>
      <c r="M78" s="33"/>
      <c r="N78" s="33"/>
      <c r="O78" s="33"/>
      <c r="P78" s="33"/>
      <c r="Q78" s="33"/>
      <c r="R78" s="33"/>
      <c r="S78" s="33"/>
      <c r="T78" s="33"/>
      <c r="U78" s="33"/>
      <c r="V78" s="33"/>
    </row>
    <row r="79" spans="1:22">
      <c r="A79" s="26">
        <v>45788</v>
      </c>
      <c r="B79" s="6" t="s">
        <v>184</v>
      </c>
      <c r="C79" s="6" t="s">
        <v>15</v>
      </c>
      <c r="D79" s="6" t="s">
        <v>29</v>
      </c>
      <c r="E79" s="6" t="s">
        <v>38</v>
      </c>
      <c r="F79" s="7">
        <v>6</v>
      </c>
      <c r="G79" s="7">
        <v>25000</v>
      </c>
      <c r="H79" s="7">
        <v>150000</v>
      </c>
      <c r="I79" s="16" t="str">
        <f>IF(D79="",$P$5,"")</f>
        <v/>
      </c>
      <c r="J79" s="6" t="str">
        <f>IF(I79="",D79,I79)</f>
        <v>East</v>
      </c>
      <c r="K79" s="6" t="str" cm="1">
        <f t="array" ref="K79">_xlfn.IFS(AND(J79=$S$6,E79=""),$T$6,AND(J79=$S$17,E79=""),$T$17,AND(J79=$S$29,E79=""),$T$29,AND(J79=$S$41,E79=""),$T$41,TRUE,"")</f>
        <v/>
      </c>
      <c r="L79" s="22" t="str">
        <f>IF(K79="",E79,K79)</f>
        <v>Tina</v>
      </c>
      <c r="M79" s="33"/>
      <c r="N79" s="33"/>
      <c r="O79" s="33"/>
      <c r="P79" s="33"/>
      <c r="Q79" s="33"/>
      <c r="R79" s="33"/>
      <c r="S79" s="33"/>
      <c r="T79" s="33"/>
      <c r="U79" s="33"/>
      <c r="V79" s="33"/>
    </row>
    <row r="80" spans="1:22">
      <c r="A80" s="26">
        <v>45667</v>
      </c>
      <c r="B80" s="6" t="s">
        <v>186</v>
      </c>
      <c r="C80" s="6" t="s">
        <v>15</v>
      </c>
      <c r="D80" s="6" t="s">
        <v>29</v>
      </c>
      <c r="E80" s="6" t="s">
        <v>33</v>
      </c>
      <c r="F80" s="7">
        <v>5</v>
      </c>
      <c r="G80" s="7">
        <v>15000</v>
      </c>
      <c r="H80" s="7">
        <v>75000</v>
      </c>
      <c r="I80" s="16" t="str">
        <f>IF(D80="",$P$5,"")</f>
        <v/>
      </c>
      <c r="J80" s="6" t="str">
        <f>IF(I80="",D80,I80)</f>
        <v>East</v>
      </c>
      <c r="K80" s="6" t="str" cm="1">
        <f t="array" ref="K80">_xlfn.IFS(AND(J80=$S$6,E80=""),$T$6,AND(J80=$S$17,E80=""),$T$17,AND(J80=$S$29,E80=""),$T$29,AND(J80=$S$41,E80=""),$T$41,TRUE,"")</f>
        <v/>
      </c>
      <c r="L80" s="22" t="str">
        <f>IF(K80="",E80,K80)</f>
        <v>Karan</v>
      </c>
      <c r="M80" s="33"/>
      <c r="N80" s="33"/>
      <c r="O80" s="33"/>
      <c r="P80" s="33"/>
      <c r="Q80" s="33"/>
      <c r="R80" s="33"/>
      <c r="S80" s="33"/>
      <c r="T80" s="33"/>
      <c r="U80" s="33"/>
      <c r="V80" s="33"/>
    </row>
    <row r="81" spans="1:22">
      <c r="A81" s="26">
        <v>45708</v>
      </c>
      <c r="B81" s="6" t="s">
        <v>188</v>
      </c>
      <c r="C81" s="6" t="s">
        <v>23</v>
      </c>
      <c r="D81" s="6" t="s">
        <v>11</v>
      </c>
      <c r="E81" s="6" t="s">
        <v>61</v>
      </c>
      <c r="F81" s="7">
        <v>23</v>
      </c>
      <c r="G81" s="7">
        <v>800</v>
      </c>
      <c r="H81" s="7">
        <v>18400</v>
      </c>
      <c r="I81" s="16" t="str">
        <f>IF(D81="",$P$5,"")</f>
        <v/>
      </c>
      <c r="J81" s="6" t="str">
        <f>IF(I81="",D81,I81)</f>
        <v>South</v>
      </c>
      <c r="K81" s="6" t="str" cm="1">
        <f t="array" ref="K81">_xlfn.IFS(AND(J81=$S$6,E81=""),$T$6,AND(J81=$S$17,E81=""),$T$17,AND(J81=$S$29,E81=""),$T$29,AND(J81=$S$41,E81=""),$T$41,TRUE,"")</f>
        <v/>
      </c>
      <c r="L81" s="22" t="str">
        <f>IF(K81="",E81,K81)</f>
        <v>Priya</v>
      </c>
      <c r="M81" s="33"/>
      <c r="N81" s="33"/>
      <c r="O81" s="33"/>
      <c r="P81" s="33"/>
      <c r="Q81" s="33"/>
      <c r="R81" s="33"/>
      <c r="S81" s="33"/>
      <c r="T81" s="33"/>
      <c r="U81" s="33"/>
      <c r="V81" s="33"/>
    </row>
    <row r="82" spans="1:22">
      <c r="A82" s="26">
        <v>45901</v>
      </c>
      <c r="B82" s="6" t="s">
        <v>190</v>
      </c>
      <c r="C82" s="6" t="s">
        <v>15</v>
      </c>
      <c r="D82" s="6" t="s">
        <v>29</v>
      </c>
      <c r="E82" s="6" t="s">
        <v>20</v>
      </c>
      <c r="F82" s="7">
        <v>49</v>
      </c>
      <c r="G82" s="7">
        <v>50000</v>
      </c>
      <c r="H82" s="7">
        <v>2450000</v>
      </c>
      <c r="I82" s="16" t="str">
        <f>IF(D82="",$P$5,"")</f>
        <v/>
      </c>
      <c r="J82" s="6" t="str">
        <f>IF(I82="",D82,I82)</f>
        <v>East</v>
      </c>
      <c r="K82" s="6" t="str" cm="1">
        <f t="array" ref="K82">_xlfn.IFS(AND(J82=$S$6,E82=""),$T$6,AND(J82=$S$17,E82=""),$T$17,AND(J82=$S$29,E82=""),$T$29,AND(J82=$S$41,E82=""),$T$41,TRUE,"")</f>
        <v/>
      </c>
      <c r="L82" s="22" t="str">
        <f>IF(K82="",E82,K82)</f>
        <v>Sonia</v>
      </c>
      <c r="M82" s="33"/>
      <c r="N82" s="33"/>
      <c r="O82" s="33"/>
      <c r="P82" s="33"/>
      <c r="Q82" s="33"/>
      <c r="R82" s="33"/>
      <c r="S82" s="33"/>
      <c r="T82" s="33"/>
      <c r="U82" s="33"/>
      <c r="V82" s="33"/>
    </row>
    <row r="83" spans="1:22">
      <c r="A83" s="26">
        <v>45670</v>
      </c>
      <c r="B83" s="6" t="s">
        <v>192</v>
      </c>
      <c r="C83" s="6" t="s">
        <v>23</v>
      </c>
      <c r="D83" s="6" t="s">
        <v>24</v>
      </c>
      <c r="E83" s="6" t="s">
        <v>38</v>
      </c>
      <c r="F83" s="7">
        <v>47</v>
      </c>
      <c r="G83" s="7">
        <v>1200</v>
      </c>
      <c r="H83" s="7">
        <v>56400</v>
      </c>
      <c r="I83" s="16" t="str">
        <f>IF(D83="",$P$5,"")</f>
        <v/>
      </c>
      <c r="J83" s="6" t="str">
        <f>IF(I83="",D83,I83)</f>
        <v>North</v>
      </c>
      <c r="K83" s="6" t="str" cm="1">
        <f t="array" ref="K83">_xlfn.IFS(AND(J83=$S$6,E83=""),$T$6,AND(J83=$S$17,E83=""),$T$17,AND(J83=$S$29,E83=""),$T$29,AND(J83=$S$41,E83=""),$T$41,TRUE,"")</f>
        <v/>
      </c>
      <c r="L83" s="22" t="str">
        <f>IF(K83="",E83,K83)</f>
        <v>Tina</v>
      </c>
      <c r="M83" s="33"/>
      <c r="N83" s="33"/>
      <c r="O83" s="33"/>
      <c r="P83" s="33"/>
      <c r="Q83" s="33"/>
      <c r="R83" s="33"/>
      <c r="S83" s="33"/>
      <c r="T83" s="33"/>
      <c r="U83" s="33"/>
      <c r="V83" s="33"/>
    </row>
    <row r="84" spans="1:22">
      <c r="A84" s="26">
        <v>45708</v>
      </c>
      <c r="B84" s="6" t="s">
        <v>193</v>
      </c>
      <c r="C84" s="6" t="s">
        <v>23</v>
      </c>
      <c r="D84" s="6" t="s">
        <v>29</v>
      </c>
      <c r="E84" s="6" t="s">
        <v>16</v>
      </c>
      <c r="F84" s="7">
        <v>25</v>
      </c>
      <c r="G84" s="7">
        <v>15000</v>
      </c>
      <c r="H84" s="7">
        <v>375000</v>
      </c>
      <c r="I84" s="16" t="str">
        <f>IF(D84="",$P$5,"")</f>
        <v/>
      </c>
      <c r="J84" s="6" t="str">
        <f>IF(I84="",D84,I84)</f>
        <v>East</v>
      </c>
      <c r="K84" s="6" t="str" cm="1">
        <f t="array" ref="K84">_xlfn.IFS(AND(J84=$S$6,E84=""),$T$6,AND(J84=$S$17,E84=""),$T$17,AND(J84=$S$29,E84=""),$T$29,AND(J84=$S$41,E84=""),$T$41,TRUE,"")</f>
        <v/>
      </c>
      <c r="L84" s="22" t="str">
        <f>IF(K84="",E84,K84)</f>
        <v>Amit</v>
      </c>
      <c r="M84" s="33"/>
      <c r="N84" s="33"/>
      <c r="O84" s="33"/>
      <c r="P84" s="33"/>
      <c r="Q84" s="33"/>
      <c r="R84" s="33"/>
      <c r="S84" s="33"/>
      <c r="T84" s="33"/>
      <c r="U84" s="33"/>
      <c r="V84" s="33"/>
    </row>
    <row r="85" spans="1:22">
      <c r="A85" s="26">
        <v>45742</v>
      </c>
      <c r="B85" s="6" t="s">
        <v>195</v>
      </c>
      <c r="C85" s="6" t="s">
        <v>10</v>
      </c>
      <c r="D85" s="6" t="s">
        <v>29</v>
      </c>
      <c r="E85" s="6" t="s">
        <v>20</v>
      </c>
      <c r="F85" s="7">
        <v>41</v>
      </c>
      <c r="G85" s="7">
        <v>50000</v>
      </c>
      <c r="H85" s="7">
        <v>2050000</v>
      </c>
      <c r="I85" s="16" t="str">
        <f>IF(D85="",$P$5,"")</f>
        <v/>
      </c>
      <c r="J85" s="6" t="str">
        <f>IF(I85="",D85,I85)</f>
        <v>East</v>
      </c>
      <c r="K85" s="6" t="str" cm="1">
        <f t="array" ref="K85">_xlfn.IFS(AND(J85=$S$6,E85=""),$T$6,AND(J85=$S$17,E85=""),$T$17,AND(J85=$S$29,E85=""),$T$29,AND(J85=$S$41,E85=""),$T$41,TRUE,"")</f>
        <v/>
      </c>
      <c r="L85" s="22" t="str">
        <f>IF(K85="",E85,K85)</f>
        <v>Sonia</v>
      </c>
      <c r="M85" s="33"/>
      <c r="N85" s="33"/>
      <c r="O85" s="33"/>
      <c r="P85" s="33"/>
      <c r="Q85" s="33"/>
      <c r="R85" s="33"/>
      <c r="S85" s="33"/>
      <c r="T85" s="33"/>
      <c r="U85" s="33"/>
      <c r="V85" s="33"/>
    </row>
    <row r="86" spans="1:22">
      <c r="A86" s="26">
        <v>45659</v>
      </c>
      <c r="B86" s="6" t="s">
        <v>197</v>
      </c>
      <c r="C86" s="6" t="s">
        <v>10</v>
      </c>
      <c r="D86" s="6"/>
      <c r="E86" s="6" t="s">
        <v>16</v>
      </c>
      <c r="F86" s="7">
        <v>40</v>
      </c>
      <c r="G86" s="7">
        <v>1200</v>
      </c>
      <c r="H86" s="7">
        <v>48000</v>
      </c>
      <c r="I86" s="16" t="str">
        <f>IF(D86="",$P$5,"")</f>
        <v>South</v>
      </c>
      <c r="J86" s="6" t="str">
        <f>IF(I86="",D86,I86)</f>
        <v>South</v>
      </c>
      <c r="K86" s="6" t="str" cm="1">
        <f t="array" ref="K86">_xlfn.IFS(AND(J86=$S$6,E86=""),$T$6,AND(J86=$S$17,E86=""),$T$17,AND(J86=$S$29,E86=""),$T$29,AND(J86=$S$41,E86=""),$T$41,TRUE,"")</f>
        <v/>
      </c>
      <c r="L86" s="22" t="str">
        <f>IF(K86="",E86,K86)</f>
        <v>Amit</v>
      </c>
      <c r="M86" s="33"/>
      <c r="N86" s="33"/>
      <c r="O86" s="33"/>
      <c r="P86" s="33"/>
      <c r="Q86" s="33"/>
      <c r="R86" s="33"/>
      <c r="S86" s="33"/>
      <c r="T86" s="33"/>
      <c r="U86" s="33"/>
      <c r="V86" s="33"/>
    </row>
    <row r="87" spans="1:22">
      <c r="A87" s="26">
        <v>45936</v>
      </c>
      <c r="B87" s="6" t="s">
        <v>199</v>
      </c>
      <c r="C87" s="6" t="s">
        <v>10</v>
      </c>
      <c r="D87" s="6" t="s">
        <v>24</v>
      </c>
      <c r="E87" s="6" t="s">
        <v>33</v>
      </c>
      <c r="F87" s="7">
        <v>19</v>
      </c>
      <c r="G87" s="7">
        <v>1200</v>
      </c>
      <c r="H87" s="7">
        <v>22800</v>
      </c>
      <c r="I87" s="16" t="str">
        <f>IF(D87="",$P$5,"")</f>
        <v/>
      </c>
      <c r="J87" s="6" t="str">
        <f>IF(I87="",D87,I87)</f>
        <v>North</v>
      </c>
      <c r="K87" s="6" t="str" cm="1">
        <f t="array" ref="K87">_xlfn.IFS(AND(J87=$S$6,E87=""),$T$6,AND(J87=$S$17,E87=""),$T$17,AND(J87=$S$29,E87=""),$T$29,AND(J87=$S$41,E87=""),$T$41,TRUE,"")</f>
        <v/>
      </c>
      <c r="L87" s="22" t="str">
        <f>IF(K87="",E87,K87)</f>
        <v>Karan</v>
      </c>
      <c r="M87" s="33"/>
      <c r="N87" s="33"/>
      <c r="O87" s="33"/>
      <c r="P87" s="33"/>
      <c r="Q87" s="33"/>
      <c r="R87" s="33"/>
      <c r="S87" s="33"/>
      <c r="T87" s="33"/>
      <c r="U87" s="33"/>
      <c r="V87" s="33"/>
    </row>
    <row r="88" spans="1:22">
      <c r="A88" s="26">
        <v>45667</v>
      </c>
      <c r="B88" s="6" t="s">
        <v>200</v>
      </c>
      <c r="C88" s="6" t="s">
        <v>15</v>
      </c>
      <c r="D88" s="6" t="s">
        <v>51</v>
      </c>
      <c r="E88" s="6" t="s">
        <v>72</v>
      </c>
      <c r="F88" s="7">
        <v>26</v>
      </c>
      <c r="G88" s="7">
        <v>50000</v>
      </c>
      <c r="H88" s="7">
        <v>1300000</v>
      </c>
      <c r="I88" s="16" t="str">
        <f>IF(D88="",$P$5,"")</f>
        <v/>
      </c>
      <c r="J88" s="6" t="str">
        <f>IF(I88="",D88,I88)</f>
        <v>West</v>
      </c>
      <c r="K88" s="6" t="str" cm="1">
        <f t="array" ref="K88">_xlfn.IFS(AND(J88=$S$6,E88=""),$T$6,AND(J88=$S$17,E88=""),$T$17,AND(J88=$S$29,E88=""),$T$29,AND(J88=$S$41,E88=""),$T$41,TRUE,"")</f>
        <v/>
      </c>
      <c r="L88" s="22" t="str">
        <f>IF(K88="",E88,K88)</f>
        <v>Vivek</v>
      </c>
      <c r="M88" s="33"/>
      <c r="N88" s="33"/>
      <c r="O88" s="33"/>
      <c r="P88" s="33"/>
      <c r="Q88" s="33"/>
      <c r="R88" s="33"/>
      <c r="S88" s="33"/>
      <c r="T88" s="33"/>
      <c r="U88" s="33"/>
      <c r="V88" s="33"/>
    </row>
    <row r="89" spans="1:22">
      <c r="A89" s="26">
        <v>45662</v>
      </c>
      <c r="B89" s="6" t="s">
        <v>202</v>
      </c>
      <c r="C89" s="6" t="s">
        <v>10</v>
      </c>
      <c r="D89" s="6" t="s">
        <v>11</v>
      </c>
      <c r="E89" s="6" t="s">
        <v>30</v>
      </c>
      <c r="F89" s="7">
        <v>1</v>
      </c>
      <c r="G89" s="7">
        <v>50000</v>
      </c>
      <c r="H89" s="7">
        <v>50000</v>
      </c>
      <c r="I89" s="16" t="str">
        <f>IF(D89="",$P$5,"")</f>
        <v/>
      </c>
      <c r="J89" s="6" t="str">
        <f>IF(I89="",D89,I89)</f>
        <v>South</v>
      </c>
      <c r="K89" s="6" t="str" cm="1">
        <f t="array" ref="K89">_xlfn.IFS(AND(J89=$S$6,E89=""),$T$6,AND(J89=$S$17,E89=""),$T$17,AND(J89=$S$29,E89=""),$T$29,AND(J89=$S$41,E89=""),$T$41,TRUE,"")</f>
        <v/>
      </c>
      <c r="L89" s="22" t="str">
        <f>IF(K89="",E89,K89)</f>
        <v>Riya</v>
      </c>
      <c r="M89" s="33"/>
      <c r="N89" s="33"/>
      <c r="O89" s="33"/>
      <c r="P89" s="33"/>
      <c r="Q89" s="33"/>
      <c r="R89" s="33"/>
      <c r="S89" s="33"/>
      <c r="T89" s="33"/>
      <c r="U89" s="33"/>
      <c r="V89" s="33"/>
    </row>
    <row r="90" spans="1:22">
      <c r="A90" s="26">
        <v>45827</v>
      </c>
      <c r="B90" s="6" t="s">
        <v>204</v>
      </c>
      <c r="C90" s="6" t="s">
        <v>143</v>
      </c>
      <c r="D90" s="6" t="s">
        <v>11</v>
      </c>
      <c r="E90" s="6" t="s">
        <v>25</v>
      </c>
      <c r="F90" s="7">
        <v>43</v>
      </c>
      <c r="G90" s="7">
        <v>800</v>
      </c>
      <c r="H90" s="7">
        <v>34400</v>
      </c>
      <c r="I90" s="16" t="str">
        <f>IF(D90="",$P$5,"")</f>
        <v/>
      </c>
      <c r="J90" s="6" t="str">
        <f>IF(I90="",D90,I90)</f>
        <v>South</v>
      </c>
      <c r="K90" s="6" t="str" cm="1">
        <f t="array" ref="K90">_xlfn.IFS(AND(J90=$S$6,E90=""),$T$6,AND(J90=$S$17,E90=""),$T$17,AND(J90=$S$29,E90=""),$T$29,AND(J90=$S$41,E90=""),$T$41,TRUE,"")</f>
        <v/>
      </c>
      <c r="L90" s="22" t="str">
        <f>IF(K90="",E90,K90)</f>
        <v>Neha</v>
      </c>
      <c r="M90" s="33"/>
      <c r="N90" s="33"/>
      <c r="O90" s="33"/>
      <c r="P90" s="33"/>
      <c r="Q90" s="33"/>
      <c r="R90" s="33"/>
      <c r="S90" s="33"/>
      <c r="T90" s="33"/>
      <c r="U90" s="33"/>
      <c r="V90" s="33"/>
    </row>
    <row r="91" spans="1:22">
      <c r="A91" s="26">
        <v>45835</v>
      </c>
      <c r="B91" s="6" t="s">
        <v>206</v>
      </c>
      <c r="C91" s="6" t="s">
        <v>143</v>
      </c>
      <c r="D91" s="6" t="s">
        <v>11</v>
      </c>
      <c r="E91" s="6" t="s">
        <v>72</v>
      </c>
      <c r="F91" s="7">
        <v>6</v>
      </c>
      <c r="G91" s="7">
        <v>800</v>
      </c>
      <c r="H91" s="7">
        <v>4800</v>
      </c>
      <c r="I91" s="16" t="str">
        <f>IF(D91="",$P$5,"")</f>
        <v/>
      </c>
      <c r="J91" s="6" t="str">
        <f>IF(I91="",D91,I91)</f>
        <v>South</v>
      </c>
      <c r="K91" s="6" t="str" cm="1">
        <f t="array" ref="K91">_xlfn.IFS(AND(J91=$S$6,E91=""),$T$6,AND(J91=$S$17,E91=""),$T$17,AND(J91=$S$29,E91=""),$T$29,AND(J91=$S$41,E91=""),$T$41,TRUE,"")</f>
        <v/>
      </c>
      <c r="L91" s="22" t="str">
        <f>IF(K91="",E91,K91)</f>
        <v>Vivek</v>
      </c>
      <c r="M91" s="33"/>
      <c r="N91" s="33"/>
      <c r="O91" s="33"/>
      <c r="P91" s="33"/>
      <c r="Q91" s="33"/>
      <c r="R91" s="33"/>
      <c r="S91" s="33"/>
      <c r="T91" s="33"/>
      <c r="U91" s="33"/>
      <c r="V91" s="33"/>
    </row>
    <row r="92" spans="1:22">
      <c r="A92" s="26">
        <v>45723</v>
      </c>
      <c r="B92" s="6" t="s">
        <v>208</v>
      </c>
      <c r="C92" s="6" t="s">
        <v>260</v>
      </c>
      <c r="D92" s="6" t="s">
        <v>29</v>
      </c>
      <c r="E92" s="6" t="s">
        <v>61</v>
      </c>
      <c r="F92" s="7">
        <v>9</v>
      </c>
      <c r="G92" s="7">
        <v>50000</v>
      </c>
      <c r="H92" s="7">
        <v>450000</v>
      </c>
      <c r="I92" s="16" t="str">
        <f>IF(D92="",$P$5,"")</f>
        <v/>
      </c>
      <c r="J92" s="6" t="str">
        <f>IF(I92="",D92,I92)</f>
        <v>East</v>
      </c>
      <c r="K92" s="6" t="str" cm="1">
        <f t="array" ref="K92">_xlfn.IFS(AND(J92=$S$6,E92=""),$T$6,AND(J92=$S$17,E92=""),$T$17,AND(J92=$S$29,E92=""),$T$29,AND(J92=$S$41,E92=""),$T$41,TRUE,"")</f>
        <v/>
      </c>
      <c r="L92" s="22" t="str">
        <f>IF(K92="",E92,K92)</f>
        <v>Priya</v>
      </c>
      <c r="M92" s="33"/>
      <c r="N92" s="33"/>
      <c r="O92" s="33"/>
      <c r="P92" s="33"/>
      <c r="Q92" s="33"/>
      <c r="R92" s="33"/>
      <c r="S92" s="33"/>
      <c r="T92" s="33"/>
      <c r="U92" s="33"/>
      <c r="V92" s="33"/>
    </row>
    <row r="93" spans="1:22">
      <c r="A93" s="26">
        <v>45760</v>
      </c>
      <c r="B93" s="6" t="s">
        <v>211</v>
      </c>
      <c r="C93" s="6" t="s">
        <v>19</v>
      </c>
      <c r="D93" s="6" t="s">
        <v>11</v>
      </c>
      <c r="E93" s="6" t="s">
        <v>46</v>
      </c>
      <c r="F93" s="7">
        <v>11</v>
      </c>
      <c r="G93" s="7">
        <v>800</v>
      </c>
      <c r="H93" s="7">
        <v>8800</v>
      </c>
      <c r="I93" s="16" t="str">
        <f>IF(D93="",$P$5,"")</f>
        <v/>
      </c>
      <c r="J93" s="6" t="str">
        <f>IF(I93="",D93,I93)</f>
        <v>South</v>
      </c>
      <c r="K93" s="6" t="str" cm="1">
        <f t="array" ref="K93">_xlfn.IFS(AND(J93=$S$6,E93=""),$T$6,AND(J93=$S$17,E93=""),$T$17,AND(J93=$S$29,E93=""),$T$29,AND(J93=$S$41,E93=""),$T$41,TRUE,"")</f>
        <v/>
      </c>
      <c r="L93" s="22" t="str">
        <f>IF(K93="",E93,K93)</f>
        <v>Manish</v>
      </c>
      <c r="M93" s="33"/>
      <c r="N93" s="33"/>
      <c r="O93" s="33"/>
      <c r="P93" s="33"/>
      <c r="Q93" s="33"/>
      <c r="R93" s="33"/>
      <c r="S93" s="33"/>
      <c r="T93" s="33"/>
      <c r="U93" s="33"/>
      <c r="V93" s="33"/>
    </row>
    <row r="94" spans="1:22">
      <c r="A94" s="26">
        <v>45768</v>
      </c>
      <c r="B94" s="6" t="s">
        <v>212</v>
      </c>
      <c r="C94" s="6" t="s">
        <v>19</v>
      </c>
      <c r="D94" s="6" t="s">
        <v>24</v>
      </c>
      <c r="E94" s="6" t="s">
        <v>20</v>
      </c>
      <c r="F94" s="7">
        <v>46</v>
      </c>
      <c r="G94" s="7">
        <v>15000</v>
      </c>
      <c r="H94" s="7">
        <v>689245</v>
      </c>
      <c r="I94" s="16" t="str">
        <f>IF(D94="",$P$5,"")</f>
        <v/>
      </c>
      <c r="J94" s="6" t="str">
        <f>IF(I94="",D94,I94)</f>
        <v>North</v>
      </c>
      <c r="K94" s="6" t="str" cm="1">
        <f t="array" ref="K94">_xlfn.IFS(AND(J94=$S$6,E94=""),$T$6,AND(J94=$S$17,E94=""),$T$17,AND(J94=$S$29,E94=""),$T$29,AND(J94=$S$41,E94=""),$T$41,TRUE,"")</f>
        <v/>
      </c>
      <c r="L94" s="22" t="str">
        <f>IF(K94="",E94,K94)</f>
        <v>Sonia</v>
      </c>
      <c r="M94" s="33"/>
      <c r="N94" s="33"/>
      <c r="O94" s="33"/>
      <c r="P94" s="33"/>
      <c r="Q94" s="33"/>
      <c r="R94" s="33"/>
      <c r="S94" s="33"/>
      <c r="T94" s="33"/>
      <c r="U94" s="33"/>
      <c r="V94" s="33"/>
    </row>
    <row r="95" spans="1:22">
      <c r="A95" s="26">
        <v>45872</v>
      </c>
      <c r="B95" s="6" t="s">
        <v>214</v>
      </c>
      <c r="C95" s="6" t="s">
        <v>10</v>
      </c>
      <c r="D95" s="6" t="s">
        <v>51</v>
      </c>
      <c r="E95" s="6" t="s">
        <v>33</v>
      </c>
      <c r="F95" s="7">
        <v>12</v>
      </c>
      <c r="G95" s="7">
        <v>30000</v>
      </c>
      <c r="H95" s="7">
        <v>360000</v>
      </c>
      <c r="I95" s="16" t="str">
        <f>IF(D95="",$P$5,"")</f>
        <v/>
      </c>
      <c r="J95" s="6" t="str">
        <f>IF(I95="",D95,I95)</f>
        <v>West</v>
      </c>
      <c r="K95" s="6" t="str" cm="1">
        <f t="array" ref="K95">_xlfn.IFS(AND(J95=$S$6,E95=""),$T$6,AND(J95=$S$17,E95=""),$T$17,AND(J95=$S$29,E95=""),$T$29,AND(J95=$S$41,E95=""),$T$41,TRUE,"")</f>
        <v/>
      </c>
      <c r="L95" s="22" t="str">
        <f>IF(K95="",E95,K95)</f>
        <v>Karan</v>
      </c>
      <c r="M95" s="33"/>
      <c r="N95" s="33"/>
      <c r="O95" s="33"/>
      <c r="P95" s="33"/>
      <c r="Q95" s="33"/>
      <c r="R95" s="33"/>
      <c r="S95" s="33"/>
      <c r="T95" s="33"/>
      <c r="U95" s="33"/>
      <c r="V95" s="33"/>
    </row>
    <row r="96" spans="1:22">
      <c r="A96" s="26">
        <v>45723</v>
      </c>
      <c r="B96" s="6" t="s">
        <v>215</v>
      </c>
      <c r="C96" s="6" t="s">
        <v>19</v>
      </c>
      <c r="D96" s="6" t="s">
        <v>51</v>
      </c>
      <c r="E96" s="6" t="s">
        <v>61</v>
      </c>
      <c r="F96" s="7">
        <v>10</v>
      </c>
      <c r="G96" s="7">
        <v>50000</v>
      </c>
      <c r="H96" s="7">
        <v>500000</v>
      </c>
      <c r="I96" s="16" t="str">
        <f>IF(D96="",$P$5,"")</f>
        <v/>
      </c>
      <c r="J96" s="6" t="str">
        <f>IF(I96="",D96,I96)</f>
        <v>West</v>
      </c>
      <c r="K96" s="6" t="str" cm="1">
        <f t="array" ref="K96">_xlfn.IFS(AND(J96=$S$6,E96=""),$T$6,AND(J96=$S$17,E96=""),$T$17,AND(J96=$S$29,E96=""),$T$29,AND(J96=$S$41,E96=""),$T$41,TRUE,"")</f>
        <v/>
      </c>
      <c r="L96" s="22" t="str">
        <f>IF(K96="",E96,K96)</f>
        <v>Priya</v>
      </c>
      <c r="M96" s="33"/>
      <c r="N96" s="33"/>
      <c r="O96" s="33"/>
      <c r="P96" s="33"/>
      <c r="Q96" s="33"/>
      <c r="R96" s="33"/>
      <c r="S96" s="33"/>
      <c r="T96" s="33"/>
      <c r="U96" s="33"/>
      <c r="V96" s="33"/>
    </row>
    <row r="97" spans="1:22">
      <c r="A97" s="26">
        <v>45833</v>
      </c>
      <c r="B97" s="6" t="s">
        <v>217</v>
      </c>
      <c r="C97" s="6" t="s">
        <v>15</v>
      </c>
      <c r="D97" s="6" t="s">
        <v>24</v>
      </c>
      <c r="E97" s="6" t="s">
        <v>38</v>
      </c>
      <c r="F97" s="7">
        <v>42</v>
      </c>
      <c r="G97" s="7">
        <v>30000</v>
      </c>
      <c r="H97" s="7">
        <v>1260000</v>
      </c>
      <c r="I97" s="16" t="str">
        <f>IF(D97="",$P$5,"")</f>
        <v/>
      </c>
      <c r="J97" s="6" t="str">
        <f>IF(I97="",D97,I97)</f>
        <v>North</v>
      </c>
      <c r="K97" s="6" t="str" cm="1">
        <f t="array" ref="K97">_xlfn.IFS(AND(J97=$S$6,E97=""),$T$6,AND(J97=$S$17,E97=""),$T$17,AND(J97=$S$29,E97=""),$T$29,AND(J97=$S$41,E97=""),$T$41,TRUE,"")</f>
        <v/>
      </c>
      <c r="L97" s="22" t="str">
        <f>IF(K97="",E97,K97)</f>
        <v>Tina</v>
      </c>
      <c r="M97" s="33"/>
      <c r="N97" s="33"/>
      <c r="O97" s="33"/>
      <c r="P97" s="33"/>
      <c r="Q97" s="33"/>
      <c r="R97" s="33"/>
      <c r="S97" s="33"/>
      <c r="T97" s="33"/>
      <c r="U97" s="33"/>
      <c r="V97" s="33"/>
    </row>
    <row r="98" spans="1:22">
      <c r="A98" s="26">
        <v>45816</v>
      </c>
      <c r="B98" s="6" t="s">
        <v>219</v>
      </c>
      <c r="C98" s="6" t="s">
        <v>15</v>
      </c>
      <c r="D98" s="6" t="s">
        <v>29</v>
      </c>
      <c r="E98" s="6" t="s">
        <v>33</v>
      </c>
      <c r="F98" s="7">
        <v>26</v>
      </c>
      <c r="G98" s="7">
        <v>50000</v>
      </c>
      <c r="H98" s="7">
        <v>1300000</v>
      </c>
      <c r="I98" s="16" t="str">
        <f>IF(D98="",$P$5,"")</f>
        <v/>
      </c>
      <c r="J98" s="6" t="str">
        <f>IF(I98="",D98,I98)</f>
        <v>East</v>
      </c>
      <c r="K98" s="6" t="str" cm="1">
        <f t="array" ref="K98">_xlfn.IFS(AND(J98=$S$6,E98=""),$T$6,AND(J98=$S$17,E98=""),$T$17,AND(J98=$S$29,E98=""),$T$29,AND(J98=$S$41,E98=""),$T$41,TRUE,"")</f>
        <v/>
      </c>
      <c r="L98" s="22" t="str">
        <f>IF(K98="",E98,K98)</f>
        <v>Karan</v>
      </c>
      <c r="M98" s="33"/>
      <c r="N98" s="33"/>
      <c r="O98" s="33"/>
      <c r="P98" s="33"/>
      <c r="Q98" s="33"/>
      <c r="R98" s="33"/>
      <c r="S98" s="33"/>
      <c r="T98" s="33"/>
      <c r="U98" s="33"/>
      <c r="V98" s="33"/>
    </row>
    <row r="99" spans="1:22">
      <c r="A99" s="26">
        <v>45733</v>
      </c>
      <c r="B99" s="6" t="s">
        <v>221</v>
      </c>
      <c r="C99" s="6" t="s">
        <v>23</v>
      </c>
      <c r="D99" s="6" t="s">
        <v>24</v>
      </c>
      <c r="E99" s="6" t="s">
        <v>33</v>
      </c>
      <c r="F99" s="7">
        <v>38</v>
      </c>
      <c r="G99" s="7">
        <v>30000</v>
      </c>
      <c r="H99" s="7">
        <v>1140000</v>
      </c>
      <c r="I99" s="16" t="str">
        <f>IF(D99="",$P$5,"")</f>
        <v/>
      </c>
      <c r="J99" s="6" t="str">
        <f>IF(I99="",D99,I99)</f>
        <v>North</v>
      </c>
      <c r="K99" s="6" t="str" cm="1">
        <f t="array" ref="K99">_xlfn.IFS(AND(J99=$S$6,E99=""),$T$6,AND(J99=$S$17,E99=""),$T$17,AND(J99=$S$29,E99=""),$T$29,AND(J99=$S$41,E99=""),$T$41,TRUE,"")</f>
        <v/>
      </c>
      <c r="L99" s="22" t="str">
        <f>IF(K99="",E99,K99)</f>
        <v>Karan</v>
      </c>
      <c r="M99" s="33"/>
      <c r="N99" s="33"/>
      <c r="O99" s="33"/>
      <c r="P99" s="33"/>
      <c r="Q99" s="33"/>
      <c r="R99" s="33"/>
      <c r="S99" s="33"/>
      <c r="T99" s="33"/>
      <c r="U99" s="33"/>
      <c r="V99" s="33"/>
    </row>
    <row r="100" spans="1:22">
      <c r="A100" s="26">
        <v>45994</v>
      </c>
      <c r="B100" s="6" t="s">
        <v>223</v>
      </c>
      <c r="C100" s="6" t="s">
        <v>19</v>
      </c>
      <c r="D100" s="6" t="s">
        <v>11</v>
      </c>
      <c r="E100" s="6" t="s">
        <v>20</v>
      </c>
      <c r="F100" s="7">
        <v>5</v>
      </c>
      <c r="G100" s="7">
        <v>1200</v>
      </c>
      <c r="H100" s="7">
        <v>6000</v>
      </c>
      <c r="I100" s="16" t="str">
        <f>IF(D100="",$P$5,"")</f>
        <v/>
      </c>
      <c r="J100" s="6" t="str">
        <f>IF(I100="",D100,I100)</f>
        <v>South</v>
      </c>
      <c r="K100" s="6" t="str" cm="1">
        <f t="array" ref="K100">_xlfn.IFS(AND(J100=$S$6,E100=""),$T$6,AND(J100=$S$17,E100=""),$T$17,AND(J100=$S$29,E100=""),$T$29,AND(J100=$S$41,E100=""),$T$41,TRUE,"")</f>
        <v/>
      </c>
      <c r="L100" s="22" t="str">
        <f>IF(K100="",E100,K100)</f>
        <v>Sonia</v>
      </c>
      <c r="M100" s="33"/>
      <c r="N100" s="33"/>
      <c r="O100" s="33"/>
      <c r="P100" s="33"/>
      <c r="Q100" s="33"/>
      <c r="R100" s="33"/>
      <c r="S100" s="33"/>
      <c r="T100" s="33"/>
      <c r="U100" s="33"/>
      <c r="V100" s="33"/>
    </row>
    <row r="101" spans="1:22">
      <c r="A101" s="26">
        <v>45759</v>
      </c>
      <c r="B101" s="6" t="s">
        <v>225</v>
      </c>
      <c r="C101" s="6" t="s">
        <v>15</v>
      </c>
      <c r="D101" s="6" t="s">
        <v>11</v>
      </c>
      <c r="E101" s="6" t="s">
        <v>20</v>
      </c>
      <c r="F101" s="7">
        <v>23</v>
      </c>
      <c r="G101" s="7">
        <v>50000</v>
      </c>
      <c r="H101" s="7">
        <v>1150000</v>
      </c>
      <c r="I101" s="16" t="str">
        <f>IF(D101="",$P$5,"")</f>
        <v/>
      </c>
      <c r="J101" s="6" t="str">
        <f>IF(I101="",D101,I101)</f>
        <v>South</v>
      </c>
      <c r="K101" s="6" t="str" cm="1">
        <f t="array" ref="K101">_xlfn.IFS(AND(J101=$S$6,E101=""),$T$6,AND(J101=$S$17,E101=""),$T$17,AND(J101=$S$29,E101=""),$T$29,AND(J101=$S$41,E101=""),$T$41,TRUE,"")</f>
        <v/>
      </c>
      <c r="L101" s="22" t="str">
        <f>IF(K101="",E101,K101)</f>
        <v>Sonia</v>
      </c>
      <c r="M101" s="33"/>
      <c r="N101" s="33"/>
      <c r="O101" s="33"/>
      <c r="P101" s="33"/>
      <c r="Q101" s="33"/>
      <c r="R101" s="33"/>
      <c r="S101" s="33"/>
      <c r="T101" s="33"/>
      <c r="U101" s="33"/>
      <c r="V101" s="33"/>
    </row>
    <row r="102" spans="1:22">
      <c r="A102" s="26">
        <v>45737</v>
      </c>
      <c r="B102" s="6" t="s">
        <v>227</v>
      </c>
      <c r="C102" s="6" t="s">
        <v>15</v>
      </c>
      <c r="D102" s="6" t="s">
        <v>11</v>
      </c>
      <c r="E102" s="6" t="s">
        <v>25</v>
      </c>
      <c r="F102" s="7">
        <v>21</v>
      </c>
      <c r="G102" s="7">
        <v>50000</v>
      </c>
      <c r="H102" s="7">
        <v>1050000</v>
      </c>
      <c r="I102" s="16" t="str">
        <f>IF(D102="",$P$5,"")</f>
        <v/>
      </c>
      <c r="J102" s="6" t="str">
        <f>IF(I102="",D102,I102)</f>
        <v>South</v>
      </c>
      <c r="K102" s="6" t="str" cm="1">
        <f t="array" ref="K102">_xlfn.IFS(AND(J102=$S$6,E102=""),$T$6,AND(J102=$S$17,E102=""),$T$17,AND(J102=$S$29,E102=""),$T$29,AND(J102=$S$41,E102=""),$T$41,TRUE,"")</f>
        <v/>
      </c>
      <c r="L102" s="22" t="str">
        <f>IF(K102="",E102,K102)</f>
        <v>Neha</v>
      </c>
      <c r="M102" s="33"/>
      <c r="N102" s="33"/>
      <c r="O102" s="33"/>
      <c r="P102" s="33"/>
      <c r="Q102" s="33"/>
      <c r="R102" s="33"/>
      <c r="S102" s="33"/>
      <c r="T102" s="33"/>
      <c r="U102" s="33"/>
      <c r="V102" s="33"/>
    </row>
    <row r="103" spans="1:22">
      <c r="A103" s="26">
        <v>45901</v>
      </c>
      <c r="B103" s="6" t="s">
        <v>228</v>
      </c>
      <c r="C103" s="6" t="s">
        <v>23</v>
      </c>
      <c r="D103" s="6" t="s">
        <v>29</v>
      </c>
      <c r="E103" s="6" t="s">
        <v>30</v>
      </c>
      <c r="F103" s="7">
        <v>43</v>
      </c>
      <c r="G103" s="7">
        <v>15000</v>
      </c>
      <c r="H103" s="7">
        <v>644958</v>
      </c>
      <c r="I103" s="16" t="str">
        <f>IF(D103="",$P$5,"")</f>
        <v/>
      </c>
      <c r="J103" s="6" t="str">
        <f>IF(I103="",D103,I103)</f>
        <v>East</v>
      </c>
      <c r="K103" s="6" t="str" cm="1">
        <f t="array" ref="K103">_xlfn.IFS(AND(J103=$S$6,E103=""),$T$6,AND(J103=$S$17,E103=""),$T$17,AND(J103=$S$29,E103=""),$T$29,AND(J103=$S$41,E103=""),$T$41,TRUE,"")</f>
        <v/>
      </c>
      <c r="L103" s="22" t="str">
        <f>IF(K103="",E103,K103)</f>
        <v>Riya</v>
      </c>
      <c r="M103" s="33"/>
      <c r="N103" s="33"/>
      <c r="O103" s="33"/>
      <c r="P103" s="33"/>
      <c r="Q103" s="33"/>
      <c r="R103" s="33"/>
      <c r="S103" s="33"/>
      <c r="T103" s="33"/>
      <c r="U103" s="33"/>
      <c r="V103" s="33"/>
    </row>
    <row r="104" spans="1:22">
      <c r="A104" s="26">
        <v>45744</v>
      </c>
      <c r="B104" s="6" t="s">
        <v>230</v>
      </c>
      <c r="C104" s="6" t="s">
        <v>19</v>
      </c>
      <c r="D104" s="6"/>
      <c r="E104" s="6" t="s">
        <v>38</v>
      </c>
      <c r="F104" s="7">
        <v>28</v>
      </c>
      <c r="G104" s="7">
        <v>800</v>
      </c>
      <c r="H104" s="7">
        <v>22400</v>
      </c>
      <c r="I104" s="16" t="str">
        <f>IF(D104="",$P$5,"")</f>
        <v>South</v>
      </c>
      <c r="J104" s="6" t="str">
        <f>IF(I104="",D104,I104)</f>
        <v>South</v>
      </c>
      <c r="K104" s="6" t="str" cm="1">
        <f t="array" ref="K104">_xlfn.IFS(AND(J104=$S$6,E104=""),$T$6,AND(J104=$S$17,E104=""),$T$17,AND(J104=$S$29,E104=""),$T$29,AND(J104=$S$41,E104=""),$T$41,TRUE,"")</f>
        <v/>
      </c>
      <c r="L104" s="22" t="str">
        <f>IF(K104="",E104,K104)</f>
        <v>Tina</v>
      </c>
      <c r="M104" s="33"/>
      <c r="N104" s="33"/>
      <c r="O104" s="33"/>
      <c r="P104" s="33"/>
      <c r="Q104" s="33"/>
      <c r="R104" s="33"/>
      <c r="S104" s="33"/>
      <c r="T104" s="33"/>
      <c r="U104" s="33"/>
      <c r="V104" s="33"/>
    </row>
    <row r="105" spans="1:22">
      <c r="A105" s="26">
        <v>45710</v>
      </c>
      <c r="B105" s="6" t="s">
        <v>232</v>
      </c>
      <c r="C105" s="6" t="s">
        <v>15</v>
      </c>
      <c r="D105" s="6" t="s">
        <v>51</v>
      </c>
      <c r="E105" s="6" t="s">
        <v>33</v>
      </c>
      <c r="F105" s="7">
        <v>50</v>
      </c>
      <c r="G105" s="7">
        <v>1200</v>
      </c>
      <c r="H105" s="7">
        <v>60000</v>
      </c>
      <c r="I105" s="16" t="str">
        <f>IF(D105="",$P$5,"")</f>
        <v/>
      </c>
      <c r="J105" s="6" t="str">
        <f>IF(I105="",D105,I105)</f>
        <v>West</v>
      </c>
      <c r="K105" s="6" t="str" cm="1">
        <f t="array" ref="K105">_xlfn.IFS(AND(J105=$S$6,E105=""),$T$6,AND(J105=$S$17,E105=""),$T$17,AND(J105=$S$29,E105=""),$T$29,AND(J105=$S$41,E105=""),$T$41,TRUE,"")</f>
        <v/>
      </c>
      <c r="L105" s="22" t="str">
        <f>IF(K105="",E105,K105)</f>
        <v>Karan</v>
      </c>
      <c r="M105" s="33"/>
      <c r="N105" s="33"/>
      <c r="O105" s="33"/>
      <c r="P105" s="33"/>
      <c r="Q105" s="33"/>
      <c r="R105" s="33"/>
      <c r="S105" s="33"/>
      <c r="T105" s="33"/>
      <c r="U105" s="33"/>
      <c r="V105" s="33"/>
    </row>
    <row r="106" spans="1:22">
      <c r="A106" s="26">
        <v>45756</v>
      </c>
      <c r="B106" s="6" t="s">
        <v>234</v>
      </c>
      <c r="C106" s="6" t="s">
        <v>10</v>
      </c>
      <c r="D106" s="6" t="s">
        <v>51</v>
      </c>
      <c r="E106" s="6" t="s">
        <v>33</v>
      </c>
      <c r="F106" s="7">
        <v>27</v>
      </c>
      <c r="G106" s="7">
        <v>30000</v>
      </c>
      <c r="H106" s="7">
        <v>810000</v>
      </c>
      <c r="I106" s="16" t="str">
        <f>IF(D106="",$P$5,"")</f>
        <v/>
      </c>
      <c r="J106" s="6" t="str">
        <f>IF(I106="",D106,I106)</f>
        <v>West</v>
      </c>
      <c r="K106" s="6" t="str" cm="1">
        <f t="array" ref="K106">_xlfn.IFS(AND(J106=$S$6,E106=""),$T$6,AND(J106=$S$17,E106=""),$T$17,AND(J106=$S$29,E106=""),$T$29,AND(J106=$S$41,E106=""),$T$41,TRUE,"")</f>
        <v/>
      </c>
      <c r="L106" s="22" t="str">
        <f>IF(K106="",E106,K106)</f>
        <v>Karan</v>
      </c>
      <c r="M106" s="33"/>
      <c r="N106" s="33"/>
      <c r="O106" s="33"/>
      <c r="P106" s="33"/>
      <c r="Q106" s="33"/>
      <c r="R106" s="33"/>
      <c r="S106" s="33"/>
      <c r="T106" s="33"/>
      <c r="U106" s="33"/>
      <c r="V106" s="33"/>
    </row>
    <row r="107" spans="1:22">
      <c r="A107" s="26">
        <v>45829</v>
      </c>
      <c r="B107" s="6" t="s">
        <v>236</v>
      </c>
      <c r="C107" s="6" t="s">
        <v>10</v>
      </c>
      <c r="D107" s="6" t="s">
        <v>51</v>
      </c>
      <c r="E107" s="6" t="s">
        <v>25</v>
      </c>
      <c r="F107" s="7">
        <v>29</v>
      </c>
      <c r="G107" s="7">
        <v>1200</v>
      </c>
      <c r="H107" s="7">
        <v>34800</v>
      </c>
      <c r="I107" s="16" t="str">
        <f>IF(D107="",$P$5,"")</f>
        <v/>
      </c>
      <c r="J107" s="6" t="str">
        <f>IF(I107="",D107,I107)</f>
        <v>West</v>
      </c>
      <c r="K107" s="6" t="str" cm="1">
        <f t="array" ref="K107">_xlfn.IFS(AND(J107=$S$6,E107=""),$T$6,AND(J107=$S$17,E107=""),$T$17,AND(J107=$S$29,E107=""),$T$29,AND(J107=$S$41,E107=""),$T$41,TRUE,"")</f>
        <v/>
      </c>
      <c r="L107" s="22" t="str">
        <f>IF(K107="",E107,K107)</f>
        <v>Neha</v>
      </c>
      <c r="M107" s="33"/>
      <c r="N107" s="33"/>
      <c r="O107" s="33"/>
      <c r="P107" s="33"/>
      <c r="Q107" s="33"/>
      <c r="R107" s="33"/>
      <c r="S107" s="33"/>
      <c r="T107" s="33"/>
      <c r="U107" s="33"/>
      <c r="V107" s="33"/>
    </row>
    <row r="108" spans="1:22">
      <c r="A108" s="26">
        <v>45743</v>
      </c>
      <c r="B108" s="6" t="s">
        <v>238</v>
      </c>
      <c r="C108" s="6" t="s">
        <v>116</v>
      </c>
      <c r="D108" s="6" t="s">
        <v>24</v>
      </c>
      <c r="E108" s="6" t="s">
        <v>38</v>
      </c>
      <c r="F108" s="7">
        <v>38</v>
      </c>
      <c r="G108" s="7">
        <v>30000</v>
      </c>
      <c r="H108" s="7">
        <v>1140000</v>
      </c>
      <c r="I108" s="16" t="str">
        <f>IF(D108="",$P$5,"")</f>
        <v/>
      </c>
      <c r="J108" s="6" t="str">
        <f>IF(I108="",D108,I108)</f>
        <v>North</v>
      </c>
      <c r="K108" s="6" t="str" cm="1">
        <f t="array" ref="K108">_xlfn.IFS(AND(J108=$S$6,E108=""),$T$6,AND(J108=$S$17,E108=""),$T$17,AND(J108=$S$29,E108=""),$T$29,AND(J108=$S$41,E108=""),$T$41,TRUE,"")</f>
        <v/>
      </c>
      <c r="L108" s="22" t="str">
        <f>IF(K108="",E108,K108)</f>
        <v>Tina</v>
      </c>
      <c r="M108" s="33"/>
      <c r="N108" s="33"/>
      <c r="O108" s="33"/>
      <c r="P108" s="33"/>
      <c r="Q108" s="33"/>
      <c r="R108" s="33"/>
      <c r="S108" s="33"/>
      <c r="T108" s="33"/>
      <c r="U108" s="33"/>
      <c r="V108" s="33"/>
    </row>
    <row r="109" spans="1:22">
      <c r="A109" s="26">
        <v>45670</v>
      </c>
      <c r="B109" s="6" t="s">
        <v>240</v>
      </c>
      <c r="C109" s="6" t="s">
        <v>10</v>
      </c>
      <c r="D109" s="6" t="s">
        <v>29</v>
      </c>
      <c r="E109" s="6" t="s">
        <v>61</v>
      </c>
      <c r="F109" s="7">
        <v>23</v>
      </c>
      <c r="G109" s="7">
        <v>50000</v>
      </c>
      <c r="H109" s="7">
        <v>1150000</v>
      </c>
      <c r="I109" s="16" t="str">
        <f>IF(D109="",$P$5,"")</f>
        <v/>
      </c>
      <c r="J109" s="6" t="str">
        <f>IF(I109="",D109,I109)</f>
        <v>East</v>
      </c>
      <c r="K109" s="6" t="str" cm="1">
        <f t="array" ref="K109">_xlfn.IFS(AND(J109=$S$6,E109=""),$T$6,AND(J109=$S$17,E109=""),$T$17,AND(J109=$S$29,E109=""),$T$29,AND(J109=$S$41,E109=""),$T$41,TRUE,"")</f>
        <v/>
      </c>
      <c r="L109" s="22" t="str">
        <f>IF(K109="",E109,K109)</f>
        <v>Priya</v>
      </c>
      <c r="M109" s="33"/>
      <c r="N109" s="33"/>
      <c r="O109" s="33"/>
      <c r="P109" s="33"/>
      <c r="Q109" s="33"/>
      <c r="R109" s="33"/>
      <c r="S109" s="33"/>
      <c r="T109" s="33"/>
      <c r="U109" s="33"/>
      <c r="V109" s="33"/>
    </row>
    <row r="110" spans="1:22">
      <c r="A110" s="26">
        <v>45963</v>
      </c>
      <c r="B110" s="6" t="s">
        <v>242</v>
      </c>
      <c r="C110" s="6" t="s">
        <v>19</v>
      </c>
      <c r="D110" s="6"/>
      <c r="E110" s="6" t="s">
        <v>38</v>
      </c>
      <c r="F110" s="7">
        <v>13</v>
      </c>
      <c r="G110" s="7">
        <v>50000</v>
      </c>
      <c r="H110" s="7">
        <v>650000</v>
      </c>
      <c r="I110" s="16" t="str">
        <f>IF(D110="",$P$5,"")</f>
        <v>South</v>
      </c>
      <c r="J110" s="6" t="str">
        <f>IF(I110="",D110,I110)</f>
        <v>South</v>
      </c>
      <c r="K110" s="6" t="str" cm="1">
        <f t="array" ref="K110">_xlfn.IFS(AND(J110=$S$6,E110=""),$T$6,AND(J110=$S$17,E110=""),$T$17,AND(J110=$S$29,E110=""),$T$29,AND(J110=$S$41,E110=""),$T$41,TRUE,"")</f>
        <v/>
      </c>
      <c r="L110" s="22" t="str">
        <f>IF(K110="",E110,K110)</f>
        <v>Tina</v>
      </c>
      <c r="M110" s="33"/>
      <c r="N110" s="33"/>
      <c r="O110" s="33"/>
      <c r="P110" s="33"/>
      <c r="Q110" s="33"/>
      <c r="R110" s="33"/>
      <c r="S110" s="33"/>
      <c r="T110" s="33"/>
      <c r="U110" s="33"/>
      <c r="V110" s="33"/>
    </row>
    <row r="111" spans="1:22">
      <c r="A111" s="26">
        <v>45674</v>
      </c>
      <c r="B111" s="6" t="s">
        <v>244</v>
      </c>
      <c r="C111" s="6" t="s">
        <v>15</v>
      </c>
      <c r="D111" s="6" t="s">
        <v>11</v>
      </c>
      <c r="E111" s="6" t="s">
        <v>12</v>
      </c>
      <c r="F111" s="7">
        <v>26</v>
      </c>
      <c r="G111" s="7">
        <v>50000</v>
      </c>
      <c r="H111" s="7">
        <v>1300000</v>
      </c>
      <c r="I111" s="16" t="str">
        <f>IF(D111="",$P$5,"")</f>
        <v/>
      </c>
      <c r="J111" s="6" t="str">
        <f>IF(I111="",D111,I111)</f>
        <v>South</v>
      </c>
      <c r="K111" s="6" t="str" cm="1">
        <f t="array" ref="K111">_xlfn.IFS(AND(J111=$S$6,E111=""),$T$6,AND(J111=$S$17,E111=""),$T$17,AND(J111=$S$29,E111=""),$T$29,AND(J111=$S$41,E111=""),$T$41,TRUE,"")</f>
        <v/>
      </c>
      <c r="L111" s="22" t="str">
        <f>IF(K111="",E111,K111)</f>
        <v>Rohit</v>
      </c>
      <c r="M111" s="33"/>
      <c r="N111" s="33"/>
      <c r="O111" s="33"/>
      <c r="P111" s="33"/>
      <c r="Q111" s="33"/>
      <c r="R111" s="33"/>
      <c r="S111" s="33"/>
      <c r="T111" s="33"/>
      <c r="U111" s="33"/>
      <c r="V111" s="33"/>
    </row>
    <row r="112" spans="1:22">
      <c r="A112" s="26">
        <v>45761</v>
      </c>
      <c r="B112" s="6" t="s">
        <v>246</v>
      </c>
      <c r="C112" s="6" t="s">
        <v>15</v>
      </c>
      <c r="D112" s="6" t="s">
        <v>24</v>
      </c>
      <c r="E112" s="6" t="s">
        <v>30</v>
      </c>
      <c r="F112" s="7">
        <v>11</v>
      </c>
      <c r="G112" s="7">
        <v>50000</v>
      </c>
      <c r="H112" s="7">
        <v>550000</v>
      </c>
      <c r="I112" s="16" t="str">
        <f>IF(D112="",$P$5,"")</f>
        <v/>
      </c>
      <c r="J112" s="6" t="str">
        <f>IF(I112="",D112,I112)</f>
        <v>North</v>
      </c>
      <c r="K112" s="6" t="str" cm="1">
        <f t="array" ref="K112">_xlfn.IFS(AND(J112=$S$6,E112=""),$T$6,AND(J112=$S$17,E112=""),$T$17,AND(J112=$S$29,E112=""),$T$29,AND(J112=$S$41,E112=""),$T$41,TRUE,"")</f>
        <v/>
      </c>
      <c r="L112" s="22" t="str">
        <f>IF(K112="",E112,K112)</f>
        <v>Riya</v>
      </c>
      <c r="M112" s="33"/>
      <c r="N112" s="33"/>
      <c r="O112" s="33"/>
      <c r="P112" s="33"/>
      <c r="Q112" s="33"/>
      <c r="R112" s="33"/>
      <c r="S112" s="33"/>
      <c r="T112" s="33"/>
      <c r="U112" s="33"/>
      <c r="V112" s="33"/>
    </row>
    <row r="113" spans="1:22">
      <c r="A113" s="26">
        <v>45691</v>
      </c>
      <c r="B113" s="6" t="s">
        <v>248</v>
      </c>
      <c r="C113" s="6" t="s">
        <v>19</v>
      </c>
      <c r="D113" s="6" t="s">
        <v>11</v>
      </c>
      <c r="E113" s="6" t="s">
        <v>72</v>
      </c>
      <c r="F113" s="7">
        <v>21</v>
      </c>
      <c r="G113" s="7">
        <v>800</v>
      </c>
      <c r="H113" s="7">
        <v>16800</v>
      </c>
      <c r="I113" s="16" t="str">
        <f>IF(D113="",$P$5,"")</f>
        <v/>
      </c>
      <c r="J113" s="6" t="str">
        <f>IF(I113="",D113,I113)</f>
        <v>South</v>
      </c>
      <c r="K113" s="6" t="str" cm="1">
        <f t="array" ref="K113">_xlfn.IFS(AND(J113=$S$6,E113=""),$T$6,AND(J113=$S$17,E113=""),$T$17,AND(J113=$S$29,E113=""),$T$29,AND(J113=$S$41,E113=""),$T$41,TRUE,"")</f>
        <v/>
      </c>
      <c r="L113" s="22" t="str">
        <f>IF(K113="",E113,K113)</f>
        <v>Vivek</v>
      </c>
      <c r="M113" s="33"/>
      <c r="N113" s="33"/>
      <c r="O113" s="33"/>
      <c r="P113" s="33"/>
      <c r="Q113" s="33"/>
      <c r="R113" s="33"/>
      <c r="S113" s="33"/>
      <c r="T113" s="33"/>
      <c r="U113" s="33"/>
      <c r="V113" s="33"/>
    </row>
    <row r="114" spans="1:22">
      <c r="A114" s="26">
        <v>45773</v>
      </c>
      <c r="B114" s="6" t="s">
        <v>250</v>
      </c>
      <c r="C114" s="6" t="s">
        <v>10</v>
      </c>
      <c r="D114" s="6" t="s">
        <v>51</v>
      </c>
      <c r="E114" s="6" t="s">
        <v>25</v>
      </c>
      <c r="F114" s="7">
        <v>27</v>
      </c>
      <c r="G114" s="7">
        <v>15000</v>
      </c>
      <c r="H114" s="7">
        <v>404238</v>
      </c>
      <c r="I114" s="16" t="str">
        <f>IF(D114="",$P$5,"")</f>
        <v/>
      </c>
      <c r="J114" s="6" t="str">
        <f>IF(I114="",D114,I114)</f>
        <v>West</v>
      </c>
      <c r="K114" s="6" t="str" cm="1">
        <f t="array" ref="K114">_xlfn.IFS(AND(J114=$S$6,E114=""),$T$6,AND(J114=$S$17,E114=""),$T$17,AND(J114=$S$29,E114=""),$T$29,AND(J114=$S$41,E114=""),$T$41,TRUE,"")</f>
        <v/>
      </c>
      <c r="L114" s="22" t="str">
        <f>IF(K114="",E114,K114)</f>
        <v>Neha</v>
      </c>
      <c r="M114" s="33"/>
      <c r="N114" s="33"/>
      <c r="O114" s="33"/>
      <c r="P114" s="33"/>
      <c r="Q114" s="33"/>
      <c r="R114" s="33"/>
      <c r="S114" s="33"/>
      <c r="T114" s="33"/>
      <c r="U114" s="33"/>
      <c r="V114" s="33"/>
    </row>
    <row r="115" spans="1:22">
      <c r="A115" s="26">
        <v>45668</v>
      </c>
      <c r="B115" s="6" t="s">
        <v>252</v>
      </c>
      <c r="C115" s="6" t="s">
        <v>10</v>
      </c>
      <c r="D115" s="6" t="s">
        <v>29</v>
      </c>
      <c r="E115" s="6" t="s">
        <v>38</v>
      </c>
      <c r="F115" s="7">
        <v>14</v>
      </c>
      <c r="G115" s="7">
        <v>25000</v>
      </c>
      <c r="H115" s="7">
        <v>350000</v>
      </c>
      <c r="I115" s="16" t="str">
        <f>IF(D115="",$P$5,"")</f>
        <v/>
      </c>
      <c r="J115" s="6" t="str">
        <f>IF(I115="",D115,I115)</f>
        <v>East</v>
      </c>
      <c r="K115" s="6" t="str" cm="1">
        <f t="array" ref="K115">_xlfn.IFS(AND(J115=$S$6,E115=""),$T$6,AND(J115=$S$17,E115=""),$T$17,AND(J115=$S$29,E115=""),$T$29,AND(J115=$S$41,E115=""),$T$41,TRUE,"")</f>
        <v/>
      </c>
      <c r="L115" s="22" t="str">
        <f>IF(K115="",E115,K115)</f>
        <v>Tina</v>
      </c>
      <c r="M115" s="33"/>
      <c r="N115" s="33"/>
      <c r="O115" s="33"/>
      <c r="P115" s="33"/>
      <c r="Q115" s="33"/>
      <c r="R115" s="33"/>
      <c r="S115" s="33"/>
      <c r="T115" s="33"/>
      <c r="U115" s="33"/>
      <c r="V115" s="33"/>
    </row>
    <row r="116" spans="1:22">
      <c r="A116" s="26">
        <v>45701</v>
      </c>
      <c r="B116" s="6" t="s">
        <v>254</v>
      </c>
      <c r="C116" s="6" t="s">
        <v>15</v>
      </c>
      <c r="D116" s="6" t="s">
        <v>11</v>
      </c>
      <c r="E116" s="6" t="s">
        <v>30</v>
      </c>
      <c r="F116" s="7">
        <v>40</v>
      </c>
      <c r="G116" s="7">
        <v>50000</v>
      </c>
      <c r="H116" s="7">
        <v>2000000</v>
      </c>
      <c r="I116" s="16" t="str">
        <f>IF(D116="",$P$5,"")</f>
        <v/>
      </c>
      <c r="J116" s="6" t="str">
        <f>IF(I116="",D116,I116)</f>
        <v>South</v>
      </c>
      <c r="K116" s="6" t="str" cm="1">
        <f t="array" ref="K116">_xlfn.IFS(AND(J116=$S$6,E116=""),$T$6,AND(J116=$S$17,E116=""),$T$17,AND(J116=$S$29,E116=""),$T$29,AND(J116=$S$41,E116=""),$T$41,TRUE,"")</f>
        <v/>
      </c>
      <c r="L116" s="22" t="str">
        <f>IF(K116="",E116,K116)</f>
        <v>Riya</v>
      </c>
      <c r="M116" s="33"/>
      <c r="N116" s="33"/>
      <c r="O116" s="33"/>
      <c r="P116" s="33"/>
      <c r="Q116" s="33"/>
      <c r="R116" s="33"/>
      <c r="S116" s="33"/>
      <c r="T116" s="33"/>
      <c r="U116" s="33"/>
      <c r="V116" s="33"/>
    </row>
    <row r="117" spans="1:22">
      <c r="A117" s="26">
        <v>45740</v>
      </c>
      <c r="B117" s="6" t="s">
        <v>256</v>
      </c>
      <c r="C117" s="6" t="s">
        <v>19</v>
      </c>
      <c r="D117" s="6" t="s">
        <v>24</v>
      </c>
      <c r="E117" s="6" t="s">
        <v>30</v>
      </c>
      <c r="F117" s="7">
        <v>13</v>
      </c>
      <c r="G117" s="7">
        <v>25000</v>
      </c>
      <c r="H117" s="7">
        <v>325000</v>
      </c>
      <c r="I117" s="16" t="str">
        <f>IF(D117="",$P$5,"")</f>
        <v/>
      </c>
      <c r="J117" s="6" t="str">
        <f>IF(I117="",D117,I117)</f>
        <v>North</v>
      </c>
      <c r="K117" s="6" t="str" cm="1">
        <f t="array" ref="K117">_xlfn.IFS(AND(J117=$S$6,E117=""),$T$6,AND(J117=$S$17,E117=""),$T$17,AND(J117=$S$29,E117=""),$T$29,AND(J117=$S$41,E117=""),$T$41,TRUE,"")</f>
        <v/>
      </c>
      <c r="L117" s="22" t="str">
        <f>IF(K117="",E117,K117)</f>
        <v>Riya</v>
      </c>
      <c r="M117" s="33"/>
      <c r="N117" s="33"/>
      <c r="O117" s="33"/>
      <c r="P117" s="33"/>
      <c r="Q117" s="33"/>
      <c r="R117" s="33"/>
      <c r="S117" s="33"/>
      <c r="T117" s="33"/>
      <c r="U117" s="33"/>
      <c r="V117" s="33"/>
    </row>
    <row r="118" spans="1:22">
      <c r="A118" s="26">
        <v>45658</v>
      </c>
      <c r="B118" s="6" t="s">
        <v>258</v>
      </c>
      <c r="C118" s="6" t="s">
        <v>23</v>
      </c>
      <c r="D118" s="6" t="s">
        <v>11</v>
      </c>
      <c r="E118" s="6" t="s">
        <v>46</v>
      </c>
      <c r="F118" s="7">
        <v>1</v>
      </c>
      <c r="G118" s="7">
        <v>800</v>
      </c>
      <c r="H118" s="7">
        <v>800</v>
      </c>
      <c r="I118" s="16" t="str">
        <f>IF(D118="",$P$5,"")</f>
        <v/>
      </c>
      <c r="J118" s="6" t="str">
        <f>IF(I118="",D118,I118)</f>
        <v>South</v>
      </c>
      <c r="K118" s="6" t="str" cm="1">
        <f t="array" ref="K118">_xlfn.IFS(AND(J118=$S$6,E118=""),$T$6,AND(J118=$S$17,E118=""),$T$17,AND(J118=$S$29,E118=""),$T$29,AND(J118=$S$41,E118=""),$T$41,TRUE,"")</f>
        <v/>
      </c>
      <c r="L118" s="22" t="str">
        <f>IF(K118="",E118,K118)</f>
        <v>Manish</v>
      </c>
      <c r="M118" s="33"/>
      <c r="N118" s="33"/>
      <c r="O118" s="33"/>
      <c r="P118" s="33"/>
      <c r="Q118" s="33"/>
      <c r="R118" s="33"/>
      <c r="S118" s="33"/>
      <c r="T118" s="33"/>
      <c r="U118" s="33"/>
      <c r="V118" s="33"/>
    </row>
    <row r="119" spans="1:22">
      <c r="A119" s="26">
        <v>45756</v>
      </c>
      <c r="B119" s="6" t="s">
        <v>259</v>
      </c>
      <c r="C119" s="6" t="s">
        <v>260</v>
      </c>
      <c r="D119" s="6" t="s">
        <v>24</v>
      </c>
      <c r="E119" s="6" t="s">
        <v>12</v>
      </c>
      <c r="F119" s="7">
        <v>14</v>
      </c>
      <c r="G119" s="7">
        <v>15000</v>
      </c>
      <c r="H119" s="7">
        <v>209202</v>
      </c>
      <c r="I119" s="16" t="str">
        <f>IF(D119="",$P$5,"")</f>
        <v/>
      </c>
      <c r="J119" s="6" t="str">
        <f>IF(I119="",D119,I119)</f>
        <v>North</v>
      </c>
      <c r="K119" s="6" t="str" cm="1">
        <f t="array" ref="K119">_xlfn.IFS(AND(J119=$S$6,E119=""),$T$6,AND(J119=$S$17,E119=""),$T$17,AND(J119=$S$29,E119=""),$T$29,AND(J119=$S$41,E119=""),$T$41,TRUE,"")</f>
        <v/>
      </c>
      <c r="L119" s="22" t="str">
        <f>IF(K119="",E119,K119)</f>
        <v>Rohit</v>
      </c>
      <c r="M119" s="33"/>
      <c r="N119" s="33"/>
      <c r="O119" s="33"/>
      <c r="P119" s="33"/>
      <c r="Q119" s="33"/>
      <c r="R119" s="33"/>
      <c r="S119" s="33"/>
      <c r="T119" s="33"/>
      <c r="U119" s="33"/>
      <c r="V119" s="33"/>
    </row>
    <row r="120" spans="1:22">
      <c r="A120" s="26">
        <v>45761</v>
      </c>
      <c r="B120" s="6" t="s">
        <v>261</v>
      </c>
      <c r="C120" s="6" t="s">
        <v>260</v>
      </c>
      <c r="D120" s="6" t="s">
        <v>51</v>
      </c>
      <c r="E120" s="6" t="s">
        <v>20</v>
      </c>
      <c r="F120" s="7">
        <v>24</v>
      </c>
      <c r="G120" s="7">
        <v>30000</v>
      </c>
      <c r="H120" s="7">
        <v>720000</v>
      </c>
      <c r="I120" s="16" t="str">
        <f>IF(D120="",$P$5,"")</f>
        <v/>
      </c>
      <c r="J120" s="6" t="str">
        <f>IF(I120="",D120,I120)</f>
        <v>West</v>
      </c>
      <c r="K120" s="6" t="str" cm="1">
        <f t="array" ref="K120">_xlfn.IFS(AND(J120=$S$6,E120=""),$T$6,AND(J120=$S$17,E120=""),$T$17,AND(J120=$S$29,E120=""),$T$29,AND(J120=$S$41,E120=""),$T$41,TRUE,"")</f>
        <v/>
      </c>
      <c r="L120" s="22" t="str">
        <f>IF(K120="",E120,K120)</f>
        <v>Sonia</v>
      </c>
      <c r="M120" s="33"/>
      <c r="N120" s="33"/>
      <c r="O120" s="33"/>
      <c r="P120" s="33"/>
      <c r="Q120" s="33"/>
      <c r="R120" s="33"/>
      <c r="S120" s="33"/>
      <c r="T120" s="33"/>
      <c r="U120" s="33"/>
      <c r="V120" s="33"/>
    </row>
    <row r="121" spans="1:22">
      <c r="A121" s="26">
        <v>45875</v>
      </c>
      <c r="B121" s="6" t="s">
        <v>262</v>
      </c>
      <c r="C121" s="6" t="s">
        <v>306</v>
      </c>
      <c r="D121" s="6" t="s">
        <v>29</v>
      </c>
      <c r="E121" s="6" t="s">
        <v>46</v>
      </c>
      <c r="F121" s="7">
        <v>42</v>
      </c>
      <c r="G121" s="7">
        <v>800</v>
      </c>
      <c r="H121" s="7">
        <v>33600</v>
      </c>
      <c r="I121" s="16" t="str">
        <f>IF(D121="",$P$5,"")</f>
        <v/>
      </c>
      <c r="J121" s="6" t="str">
        <f>IF(I121="",D121,I121)</f>
        <v>East</v>
      </c>
      <c r="K121" s="6" t="str" cm="1">
        <f t="array" ref="K121">_xlfn.IFS(AND(J121=$S$6,E121=""),$T$6,AND(J121=$S$17,E121=""),$T$17,AND(J121=$S$29,E121=""),$T$29,AND(J121=$S$41,E121=""),$T$41,TRUE,"")</f>
        <v/>
      </c>
      <c r="L121" s="22" t="str">
        <f>IF(K121="",E121,K121)</f>
        <v>Manish</v>
      </c>
      <c r="M121" s="33"/>
      <c r="N121" s="33"/>
      <c r="O121" s="33"/>
      <c r="P121" s="33"/>
      <c r="Q121" s="33"/>
      <c r="R121" s="33"/>
      <c r="S121" s="33"/>
      <c r="T121" s="33"/>
      <c r="U121" s="33"/>
      <c r="V121" s="33"/>
    </row>
    <row r="122" spans="1:22">
      <c r="A122" s="26">
        <v>45832</v>
      </c>
      <c r="B122" s="6" t="s">
        <v>264</v>
      </c>
      <c r="C122" s="6" t="s">
        <v>23</v>
      </c>
      <c r="D122" s="6" t="s">
        <v>29</v>
      </c>
      <c r="E122" s="6" t="s">
        <v>38</v>
      </c>
      <c r="F122" s="7">
        <v>31</v>
      </c>
      <c r="G122" s="7">
        <v>30000</v>
      </c>
      <c r="H122" s="7">
        <v>930307</v>
      </c>
      <c r="I122" s="16" t="str">
        <f>IF(D122="",$P$5,"")</f>
        <v/>
      </c>
      <c r="J122" s="6" t="str">
        <f>IF(I122="",D122,I122)</f>
        <v>East</v>
      </c>
      <c r="K122" s="6" t="str" cm="1">
        <f t="array" ref="K122">_xlfn.IFS(AND(J122=$S$6,E122=""),$T$6,AND(J122=$S$17,E122=""),$T$17,AND(J122=$S$29,E122=""),$T$29,AND(J122=$S$41,E122=""),$T$41,TRUE,"")</f>
        <v/>
      </c>
      <c r="L122" s="22" t="str">
        <f>IF(K122="",E122,K122)</f>
        <v>Tina</v>
      </c>
      <c r="M122" s="33"/>
      <c r="N122" s="33"/>
      <c r="O122" s="33"/>
      <c r="P122" s="33"/>
      <c r="Q122" s="33"/>
      <c r="R122" s="33"/>
      <c r="S122" s="33"/>
      <c r="T122" s="33"/>
      <c r="U122" s="33"/>
      <c r="V122" s="33"/>
    </row>
    <row r="123" spans="1:22">
      <c r="A123" s="26">
        <v>45687</v>
      </c>
      <c r="B123" s="6" t="s">
        <v>266</v>
      </c>
      <c r="C123" s="6" t="s">
        <v>15</v>
      </c>
      <c r="D123" s="6" t="s">
        <v>51</v>
      </c>
      <c r="E123" s="6" t="s">
        <v>16</v>
      </c>
      <c r="F123" s="7">
        <v>21</v>
      </c>
      <c r="G123" s="7">
        <v>15000</v>
      </c>
      <c r="H123" s="7">
        <v>315000</v>
      </c>
      <c r="I123" s="16" t="str">
        <f>IF(D123="",$P$5,"")</f>
        <v/>
      </c>
      <c r="J123" s="6" t="str">
        <f>IF(I123="",D123,I123)</f>
        <v>West</v>
      </c>
      <c r="K123" s="6" t="str" cm="1">
        <f t="array" ref="K123">_xlfn.IFS(AND(J123=$S$6,E123=""),$T$6,AND(J123=$S$17,E123=""),$T$17,AND(J123=$S$29,E123=""),$T$29,AND(J123=$S$41,E123=""),$T$41,TRUE,"")</f>
        <v/>
      </c>
      <c r="L123" s="22" t="str">
        <f>IF(K123="",E123,K123)</f>
        <v>Amit</v>
      </c>
      <c r="M123" s="33"/>
      <c r="N123" s="33"/>
      <c r="O123" s="33"/>
      <c r="P123" s="33"/>
      <c r="Q123" s="33"/>
      <c r="R123" s="33"/>
      <c r="S123" s="33"/>
      <c r="T123" s="33"/>
      <c r="U123" s="33"/>
      <c r="V123" s="33"/>
    </row>
    <row r="124" spans="1:22">
      <c r="A124" s="26">
        <v>45705</v>
      </c>
      <c r="B124" s="6" t="s">
        <v>268</v>
      </c>
      <c r="C124" s="6" t="s">
        <v>23</v>
      </c>
      <c r="D124" s="6" t="s">
        <v>11</v>
      </c>
      <c r="E124" s="6" t="s">
        <v>30</v>
      </c>
      <c r="F124" s="7">
        <v>25</v>
      </c>
      <c r="G124" s="7">
        <v>30000</v>
      </c>
      <c r="H124" s="7">
        <v>750000</v>
      </c>
      <c r="I124" s="16" t="str">
        <f>IF(D124="",$P$5,"")</f>
        <v/>
      </c>
      <c r="J124" s="6" t="str">
        <f>IF(I124="",D124,I124)</f>
        <v>South</v>
      </c>
      <c r="K124" s="6" t="str" cm="1">
        <f t="array" ref="K124">_xlfn.IFS(AND(J124=$S$6,E124=""),$T$6,AND(J124=$S$17,E124=""),$T$17,AND(J124=$S$29,E124=""),$T$29,AND(J124=$S$41,E124=""),$T$41,TRUE,"")</f>
        <v/>
      </c>
      <c r="L124" s="22" t="str">
        <f>IF(K124="",E124,K124)</f>
        <v>Riya</v>
      </c>
      <c r="M124" s="33"/>
      <c r="N124" s="33"/>
      <c r="O124" s="33"/>
      <c r="P124" s="33"/>
      <c r="Q124" s="33"/>
      <c r="R124" s="33"/>
      <c r="S124" s="33"/>
      <c r="T124" s="33"/>
      <c r="U124" s="33"/>
      <c r="V124" s="33"/>
    </row>
    <row r="125" spans="1:22">
      <c r="A125" s="26">
        <v>45660</v>
      </c>
      <c r="B125" s="6" t="s">
        <v>270</v>
      </c>
      <c r="C125" s="6" t="s">
        <v>23</v>
      </c>
      <c r="D125" s="6" t="s">
        <v>24</v>
      </c>
      <c r="E125" s="6" t="s">
        <v>61</v>
      </c>
      <c r="F125" s="7">
        <v>5</v>
      </c>
      <c r="G125" s="7">
        <v>15000</v>
      </c>
      <c r="H125" s="7">
        <v>75000</v>
      </c>
      <c r="I125" s="16" t="str">
        <f>IF(D125="",$P$5,"")</f>
        <v/>
      </c>
      <c r="J125" s="6" t="str">
        <f>IF(I125="",D125,I125)</f>
        <v>North</v>
      </c>
      <c r="K125" s="6" t="str" cm="1">
        <f t="array" ref="K125">_xlfn.IFS(AND(J125=$S$6,E125=""),$T$6,AND(J125=$S$17,E125=""),$T$17,AND(J125=$S$29,E125=""),$T$29,AND(J125=$S$41,E125=""),$T$41,TRUE,"")</f>
        <v/>
      </c>
      <c r="L125" s="22" t="str">
        <f>IF(K125="",E125,K125)</f>
        <v>Priya</v>
      </c>
      <c r="M125" s="33"/>
      <c r="N125" s="33"/>
      <c r="O125" s="33"/>
      <c r="P125" s="33"/>
      <c r="Q125" s="33"/>
      <c r="R125" s="33"/>
      <c r="S125" s="33"/>
      <c r="T125" s="33"/>
      <c r="U125" s="33"/>
      <c r="V125" s="33"/>
    </row>
    <row r="126" spans="1:22">
      <c r="A126" s="26">
        <v>45725</v>
      </c>
      <c r="B126" s="6" t="s">
        <v>272</v>
      </c>
      <c r="C126" s="6" t="s">
        <v>19</v>
      </c>
      <c r="D126" s="6" t="s">
        <v>29</v>
      </c>
      <c r="E126" s="6" t="s">
        <v>61</v>
      </c>
      <c r="F126" s="7">
        <v>23</v>
      </c>
      <c r="G126" s="7">
        <v>25000</v>
      </c>
      <c r="H126" s="7">
        <v>575000</v>
      </c>
      <c r="I126" s="16" t="str">
        <f>IF(D126="",$P$5,"")</f>
        <v/>
      </c>
      <c r="J126" s="6" t="str">
        <f>IF(I126="",D126,I126)</f>
        <v>East</v>
      </c>
      <c r="K126" s="6" t="str" cm="1">
        <f t="array" ref="K126">_xlfn.IFS(AND(J126=$S$6,E126=""),$T$6,AND(J126=$S$17,E126=""),$T$17,AND(J126=$S$29,E126=""),$T$29,AND(J126=$S$41,E126=""),$T$41,TRUE,"")</f>
        <v/>
      </c>
      <c r="L126" s="22" t="str">
        <f>IF(K126="",E126,K126)</f>
        <v>Priya</v>
      </c>
      <c r="M126" s="33"/>
      <c r="N126" s="33"/>
      <c r="O126" s="33"/>
      <c r="P126" s="33"/>
      <c r="Q126" s="33"/>
      <c r="R126" s="33"/>
      <c r="S126" s="33"/>
      <c r="T126" s="33"/>
      <c r="U126" s="33"/>
      <c r="V126" s="33"/>
    </row>
    <row r="127" spans="1:22">
      <c r="A127" s="26">
        <v>45781</v>
      </c>
      <c r="B127" s="6" t="s">
        <v>274</v>
      </c>
      <c r="C127" s="6" t="s">
        <v>15</v>
      </c>
      <c r="D127" s="6" t="s">
        <v>11</v>
      </c>
      <c r="E127" s="6"/>
      <c r="F127" s="7">
        <v>16</v>
      </c>
      <c r="G127" s="7">
        <v>50000</v>
      </c>
      <c r="H127" s="7">
        <v>800000</v>
      </c>
      <c r="I127" s="16" t="str">
        <f>IF(D127="",$P$5,"")</f>
        <v/>
      </c>
      <c r="J127" s="6" t="str">
        <f>IF(I127="",D127,I127)</f>
        <v>South</v>
      </c>
      <c r="K127" s="6" t="str" cm="1">
        <f t="array" ref="K127">_xlfn.IFS(AND(J127=$S$6,E127=""),$T$6,AND(J127=$S$17,E127=""),$T$17,AND(J127=$S$29,E127=""),$T$29,AND(J127=$S$41,E127=""),$T$41,TRUE,"")</f>
        <v>Sonia</v>
      </c>
      <c r="L127" s="22" t="str">
        <f>IF(K127="",E127,K127)</f>
        <v>Sonia</v>
      </c>
      <c r="M127" s="33"/>
      <c r="N127" s="33"/>
      <c r="O127" s="33"/>
      <c r="P127" s="33"/>
      <c r="Q127" s="33"/>
      <c r="R127" s="33"/>
      <c r="S127" s="33"/>
      <c r="T127" s="33"/>
      <c r="U127" s="33"/>
      <c r="V127" s="33"/>
    </row>
    <row r="128" spans="1:22">
      <c r="A128" s="26">
        <v>45786</v>
      </c>
      <c r="B128" s="6" t="s">
        <v>276</v>
      </c>
      <c r="C128" s="6" t="s">
        <v>15</v>
      </c>
      <c r="D128" s="6" t="s">
        <v>51</v>
      </c>
      <c r="E128" s="6" t="s">
        <v>33</v>
      </c>
      <c r="F128" s="7">
        <v>26</v>
      </c>
      <c r="G128" s="7">
        <v>50000</v>
      </c>
      <c r="H128" s="7">
        <v>1300000</v>
      </c>
      <c r="I128" s="16" t="str">
        <f>IF(D128="",$P$5,"")</f>
        <v/>
      </c>
      <c r="J128" s="6" t="str">
        <f>IF(I128="",D128,I128)</f>
        <v>West</v>
      </c>
      <c r="K128" s="6" t="str" cm="1">
        <f t="array" ref="K128">_xlfn.IFS(AND(J128=$S$6,E128=""),$T$6,AND(J128=$S$17,E128=""),$T$17,AND(J128=$S$29,E128=""),$T$29,AND(J128=$S$41,E128=""),$T$41,TRUE,"")</f>
        <v/>
      </c>
      <c r="L128" s="22" t="str">
        <f>IF(K128="",E128,K128)</f>
        <v>Karan</v>
      </c>
      <c r="M128" s="33"/>
      <c r="N128" s="33"/>
      <c r="O128" s="33"/>
      <c r="P128" s="33"/>
      <c r="Q128" s="33"/>
      <c r="R128" s="33"/>
      <c r="S128" s="33"/>
      <c r="T128" s="33"/>
      <c r="U128" s="33"/>
      <c r="V128" s="33"/>
    </row>
    <row r="129" spans="1:22">
      <c r="A129" s="26">
        <v>45780</v>
      </c>
      <c r="B129" s="6" t="s">
        <v>278</v>
      </c>
      <c r="C129" s="6" t="s">
        <v>10</v>
      </c>
      <c r="D129" s="6" t="s">
        <v>11</v>
      </c>
      <c r="E129" s="6" t="s">
        <v>30</v>
      </c>
      <c r="F129" s="7">
        <v>38</v>
      </c>
      <c r="G129" s="7">
        <v>800</v>
      </c>
      <c r="H129" s="7">
        <v>30400</v>
      </c>
      <c r="I129" s="16" t="str">
        <f>IF(D129="",$P$5,"")</f>
        <v/>
      </c>
      <c r="J129" s="6" t="str">
        <f>IF(I129="",D129,I129)</f>
        <v>South</v>
      </c>
      <c r="K129" s="6" t="str" cm="1">
        <f t="array" ref="K129">_xlfn.IFS(AND(J129=$S$6,E129=""),$T$6,AND(J129=$S$17,E129=""),$T$17,AND(J129=$S$29,E129=""),$T$29,AND(J129=$S$41,E129=""),$T$41,TRUE,"")</f>
        <v/>
      </c>
      <c r="L129" s="22" t="str">
        <f>IF(K129="",E129,K129)</f>
        <v>Riya</v>
      </c>
      <c r="M129" s="33"/>
      <c r="N129" s="33"/>
      <c r="O129" s="33"/>
      <c r="P129" s="33"/>
      <c r="Q129" s="33"/>
      <c r="R129" s="33"/>
      <c r="S129" s="33"/>
      <c r="T129" s="33"/>
      <c r="U129" s="33"/>
      <c r="V129" s="33"/>
    </row>
    <row r="130" spans="1:22">
      <c r="A130" s="26">
        <v>45796</v>
      </c>
      <c r="B130" s="6" t="s">
        <v>280</v>
      </c>
      <c r="C130" s="6" t="s">
        <v>19</v>
      </c>
      <c r="D130" s="6" t="s">
        <v>29</v>
      </c>
      <c r="E130" s="6" t="s">
        <v>12</v>
      </c>
      <c r="F130" s="7">
        <v>31</v>
      </c>
      <c r="G130" s="7">
        <v>800</v>
      </c>
      <c r="H130" s="7">
        <v>24800</v>
      </c>
      <c r="I130" s="16" t="str">
        <f>IF(D130="",$P$5,"")</f>
        <v/>
      </c>
      <c r="J130" s="6" t="str">
        <f>IF(I130="",D130,I130)</f>
        <v>East</v>
      </c>
      <c r="K130" s="6" t="str" cm="1">
        <f t="array" ref="K130">_xlfn.IFS(AND(J130=$S$6,E130=""),$T$6,AND(J130=$S$17,E130=""),$T$17,AND(J130=$S$29,E130=""),$T$29,AND(J130=$S$41,E130=""),$T$41,TRUE,"")</f>
        <v/>
      </c>
      <c r="L130" s="22" t="str">
        <f>IF(K130="",E130,K130)</f>
        <v>Rohit</v>
      </c>
      <c r="M130" s="33"/>
      <c r="N130" s="33"/>
      <c r="O130" s="33"/>
      <c r="P130" s="33"/>
      <c r="Q130" s="33"/>
      <c r="R130" s="33"/>
      <c r="S130" s="33"/>
      <c r="T130" s="33"/>
      <c r="U130" s="33"/>
      <c r="V130" s="33"/>
    </row>
    <row r="131" spans="1:22">
      <c r="A131" s="26">
        <v>45711</v>
      </c>
      <c r="B131" s="6" t="s">
        <v>281</v>
      </c>
      <c r="C131" s="6" t="s">
        <v>23</v>
      </c>
      <c r="D131" s="6" t="s">
        <v>29</v>
      </c>
      <c r="E131" s="6" t="s">
        <v>38</v>
      </c>
      <c r="F131" s="7">
        <v>14</v>
      </c>
      <c r="G131" s="7">
        <v>1200</v>
      </c>
      <c r="H131" s="7">
        <v>16800</v>
      </c>
      <c r="I131" s="16" t="str">
        <f>IF(D131="",$P$5,"")</f>
        <v/>
      </c>
      <c r="J131" s="6" t="str">
        <f>IF(I131="",D131,I131)</f>
        <v>East</v>
      </c>
      <c r="K131" s="6" t="str" cm="1">
        <f t="array" ref="K131">_xlfn.IFS(AND(J131=$S$6,E131=""),$T$6,AND(J131=$S$17,E131=""),$T$17,AND(J131=$S$29,E131=""),$T$29,AND(J131=$S$41,E131=""),$T$41,TRUE,"")</f>
        <v/>
      </c>
      <c r="L131" s="22" t="str">
        <f>IF(K131="",E131,K131)</f>
        <v>Tina</v>
      </c>
      <c r="M131" s="33"/>
      <c r="N131" s="33"/>
      <c r="O131" s="33"/>
      <c r="P131" s="33"/>
      <c r="Q131" s="33"/>
      <c r="R131" s="33"/>
      <c r="S131" s="33"/>
      <c r="T131" s="33"/>
      <c r="U131" s="33"/>
      <c r="V131" s="33"/>
    </row>
    <row r="132" spans="1:22">
      <c r="A132" s="26">
        <v>45761</v>
      </c>
      <c r="B132" s="6" t="s">
        <v>283</v>
      </c>
      <c r="C132" s="6" t="s">
        <v>15</v>
      </c>
      <c r="D132" s="6" t="s">
        <v>24</v>
      </c>
      <c r="E132" s="6" t="s">
        <v>12</v>
      </c>
      <c r="F132" s="7">
        <v>26</v>
      </c>
      <c r="G132" s="7">
        <v>800</v>
      </c>
      <c r="H132" s="7">
        <v>20800</v>
      </c>
      <c r="I132" s="16" t="str">
        <f>IF(D132="",$P$5,"")</f>
        <v/>
      </c>
      <c r="J132" s="6" t="str">
        <f>IF(I132="",D132,I132)</f>
        <v>North</v>
      </c>
      <c r="K132" s="6" t="str" cm="1">
        <f t="array" ref="K132">_xlfn.IFS(AND(J132=$S$6,E132=""),$T$6,AND(J132=$S$17,E132=""),$T$17,AND(J132=$S$29,E132=""),$T$29,AND(J132=$S$41,E132=""),$T$41,TRUE,"")</f>
        <v/>
      </c>
      <c r="L132" s="22" t="str">
        <f>IF(K132="",E132,K132)</f>
        <v>Rohit</v>
      </c>
      <c r="M132" s="33"/>
      <c r="N132" s="33"/>
      <c r="O132" s="33"/>
      <c r="P132" s="33"/>
      <c r="Q132" s="33"/>
      <c r="R132" s="33"/>
      <c r="S132" s="33"/>
      <c r="T132" s="33"/>
      <c r="U132" s="33"/>
      <c r="V132" s="33"/>
    </row>
    <row r="133" spans="1:22">
      <c r="A133" s="26">
        <v>45704</v>
      </c>
      <c r="B133" s="6" t="s">
        <v>285</v>
      </c>
      <c r="C133" s="6" t="s">
        <v>15</v>
      </c>
      <c r="D133" s="6" t="s">
        <v>24</v>
      </c>
      <c r="E133" s="6" t="s">
        <v>16</v>
      </c>
      <c r="F133" s="7">
        <v>28</v>
      </c>
      <c r="G133" s="7">
        <v>800</v>
      </c>
      <c r="H133" s="7">
        <v>22400</v>
      </c>
      <c r="I133" s="16" t="str">
        <f>IF(D133="",$P$5,"")</f>
        <v/>
      </c>
      <c r="J133" s="6" t="str">
        <f>IF(I133="",D133,I133)</f>
        <v>North</v>
      </c>
      <c r="K133" s="6" t="str" cm="1">
        <f t="array" ref="K133">_xlfn.IFS(AND(J133=$S$6,E133=""),$T$6,AND(J133=$S$17,E133=""),$T$17,AND(J133=$S$29,E133=""),$T$29,AND(J133=$S$41,E133=""),$T$41,TRUE,"")</f>
        <v/>
      </c>
      <c r="L133" s="22" t="str">
        <f>IF(K133="",E133,K133)</f>
        <v>Amit</v>
      </c>
      <c r="M133" s="33"/>
      <c r="N133" s="33"/>
      <c r="O133" s="33"/>
      <c r="P133" s="33"/>
      <c r="Q133" s="33"/>
      <c r="R133" s="33"/>
      <c r="S133" s="33"/>
      <c r="T133" s="33"/>
      <c r="U133" s="33"/>
      <c r="V133" s="33"/>
    </row>
    <row r="134" spans="1:22">
      <c r="A134" s="26">
        <v>45743</v>
      </c>
      <c r="B134" s="6" t="s">
        <v>287</v>
      </c>
      <c r="C134" s="6" t="s">
        <v>19</v>
      </c>
      <c r="D134" s="6" t="s">
        <v>11</v>
      </c>
      <c r="E134" s="6" t="s">
        <v>46</v>
      </c>
      <c r="F134" s="7">
        <v>41</v>
      </c>
      <c r="G134" s="7">
        <v>1200</v>
      </c>
      <c r="H134" s="7">
        <v>49200</v>
      </c>
      <c r="I134" s="16" t="str">
        <f>IF(D134="",$P$5,"")</f>
        <v/>
      </c>
      <c r="J134" s="6" t="str">
        <f>IF(I134="",D134,I134)</f>
        <v>South</v>
      </c>
      <c r="K134" s="6" t="str" cm="1">
        <f t="array" ref="K134">_xlfn.IFS(AND(J134=$S$6,E134=""),$T$6,AND(J134=$S$17,E134=""),$T$17,AND(J134=$S$29,E134=""),$T$29,AND(J134=$S$41,E134=""),$T$41,TRUE,"")</f>
        <v/>
      </c>
      <c r="L134" s="22" t="str">
        <f>IF(K134="",E134,K134)</f>
        <v>Manish</v>
      </c>
      <c r="M134" s="33"/>
      <c r="N134" s="33"/>
      <c r="O134" s="33"/>
      <c r="P134" s="33"/>
      <c r="Q134" s="33"/>
      <c r="R134" s="33"/>
      <c r="S134" s="33"/>
      <c r="T134" s="33"/>
      <c r="U134" s="33"/>
      <c r="V134" s="33"/>
    </row>
    <row r="135" spans="1:22">
      <c r="A135" s="26">
        <v>45837</v>
      </c>
      <c r="B135" s="6" t="s">
        <v>289</v>
      </c>
      <c r="C135" s="6" t="s">
        <v>23</v>
      </c>
      <c r="D135" s="6" t="s">
        <v>11</v>
      </c>
      <c r="E135" s="6" t="s">
        <v>33</v>
      </c>
      <c r="F135" s="7">
        <v>25</v>
      </c>
      <c r="G135" s="7">
        <v>30000</v>
      </c>
      <c r="H135" s="7">
        <v>750000</v>
      </c>
      <c r="I135" s="16" t="str">
        <f>IF(D135="",$P$5,"")</f>
        <v/>
      </c>
      <c r="J135" s="6" t="str">
        <f>IF(I135="",D135,I135)</f>
        <v>South</v>
      </c>
      <c r="K135" s="6" t="str" cm="1">
        <f t="array" ref="K135">_xlfn.IFS(AND(J135=$S$6,E135=""),$T$6,AND(J135=$S$17,E135=""),$T$17,AND(J135=$S$29,E135=""),$T$29,AND(J135=$S$41,E135=""),$T$41,TRUE,"")</f>
        <v/>
      </c>
      <c r="L135" s="22" t="str">
        <f>IF(K135="",E135,K135)</f>
        <v>Karan</v>
      </c>
      <c r="M135" s="33"/>
      <c r="N135" s="33"/>
      <c r="O135" s="33"/>
      <c r="P135" s="33"/>
      <c r="Q135" s="33"/>
      <c r="R135" s="33"/>
      <c r="S135" s="33"/>
      <c r="T135" s="33"/>
      <c r="U135" s="33"/>
      <c r="V135" s="33"/>
    </row>
    <row r="136" spans="1:22">
      <c r="A136" s="26">
        <v>45672</v>
      </c>
      <c r="B136" s="6" t="s">
        <v>290</v>
      </c>
      <c r="C136" s="6" t="s">
        <v>15</v>
      </c>
      <c r="D136" s="6" t="s">
        <v>11</v>
      </c>
      <c r="E136" s="6" t="s">
        <v>25</v>
      </c>
      <c r="F136" s="7">
        <v>12</v>
      </c>
      <c r="G136" s="7">
        <v>1200</v>
      </c>
      <c r="H136" s="7">
        <v>14400</v>
      </c>
      <c r="I136" s="16" t="str">
        <f>IF(D136="",$P$5,"")</f>
        <v/>
      </c>
      <c r="J136" s="6" t="str">
        <f>IF(I136="",D136,I136)</f>
        <v>South</v>
      </c>
      <c r="K136" s="6" t="str" cm="1">
        <f t="array" ref="K136">_xlfn.IFS(AND(J136=$S$6,E136=""),$T$6,AND(J136=$S$17,E136=""),$T$17,AND(J136=$S$29,E136=""),$T$29,AND(J136=$S$41,E136=""),$T$41,TRUE,"")</f>
        <v/>
      </c>
      <c r="L136" s="22" t="str">
        <f>IF(K136="",E136,K136)</f>
        <v>Neha</v>
      </c>
      <c r="M136" s="33"/>
      <c r="N136" s="33"/>
      <c r="O136" s="33"/>
      <c r="P136" s="33"/>
      <c r="Q136" s="33"/>
      <c r="R136" s="33"/>
      <c r="S136" s="33"/>
      <c r="T136" s="33"/>
      <c r="U136" s="33"/>
      <c r="V136" s="33"/>
    </row>
    <row r="137" spans="1:22">
      <c r="A137" s="26">
        <v>45760</v>
      </c>
      <c r="B137" s="6" t="s">
        <v>291</v>
      </c>
      <c r="C137" s="6" t="s">
        <v>23</v>
      </c>
      <c r="D137" s="6" t="s">
        <v>29</v>
      </c>
      <c r="E137" s="6" t="s">
        <v>46</v>
      </c>
      <c r="F137" s="7">
        <v>46</v>
      </c>
      <c r="G137" s="7">
        <v>15000</v>
      </c>
      <c r="H137" s="7">
        <v>690000</v>
      </c>
      <c r="I137" s="16" t="str">
        <f>IF(D137="",$P$5,"")</f>
        <v/>
      </c>
      <c r="J137" s="6" t="str">
        <f>IF(I137="",D137,I137)</f>
        <v>East</v>
      </c>
      <c r="K137" s="6" t="str" cm="1">
        <f t="array" ref="K137">_xlfn.IFS(AND(J137=$S$6,E137=""),$T$6,AND(J137=$S$17,E137=""),$T$17,AND(J137=$S$29,E137=""),$T$29,AND(J137=$S$41,E137=""),$T$41,TRUE,"")</f>
        <v/>
      </c>
      <c r="L137" s="22" t="str">
        <f>IF(K137="",E137,K137)</f>
        <v>Manish</v>
      </c>
      <c r="M137" s="33"/>
      <c r="N137" s="33"/>
      <c r="O137" s="33"/>
      <c r="P137" s="33"/>
      <c r="Q137" s="33"/>
      <c r="R137" s="33"/>
      <c r="S137" s="33"/>
      <c r="T137" s="33"/>
      <c r="U137" s="33"/>
      <c r="V137" s="33"/>
    </row>
    <row r="138" spans="1:22">
      <c r="A138" s="26">
        <v>45705</v>
      </c>
      <c r="B138" s="6" t="s">
        <v>292</v>
      </c>
      <c r="C138" s="6" t="s">
        <v>19</v>
      </c>
      <c r="D138" s="6" t="s">
        <v>29</v>
      </c>
      <c r="E138" s="6" t="s">
        <v>20</v>
      </c>
      <c r="F138" s="7">
        <v>41</v>
      </c>
      <c r="G138" s="7">
        <v>800</v>
      </c>
      <c r="H138" s="7">
        <v>32800</v>
      </c>
      <c r="I138" s="16" t="str">
        <f>IF(D138="",$P$5,"")</f>
        <v/>
      </c>
      <c r="J138" s="6" t="str">
        <f>IF(I138="",D138,I138)</f>
        <v>East</v>
      </c>
      <c r="K138" s="6" t="str" cm="1">
        <f t="array" ref="K138">_xlfn.IFS(AND(J138=$S$6,E138=""),$T$6,AND(J138=$S$17,E138=""),$T$17,AND(J138=$S$29,E138=""),$T$29,AND(J138=$S$41,E138=""),$T$41,TRUE,"")</f>
        <v/>
      </c>
      <c r="L138" s="22" t="str">
        <f>IF(K138="",E138,K138)</f>
        <v>Sonia</v>
      </c>
      <c r="M138" s="33"/>
      <c r="N138" s="33"/>
      <c r="O138" s="33"/>
      <c r="P138" s="33"/>
      <c r="Q138" s="33"/>
      <c r="R138" s="33"/>
      <c r="S138" s="33"/>
      <c r="T138" s="33"/>
      <c r="U138" s="33"/>
      <c r="V138" s="33"/>
    </row>
    <row r="139" spans="1:22">
      <c r="A139" s="26">
        <v>45676</v>
      </c>
      <c r="B139" s="6" t="s">
        <v>294</v>
      </c>
      <c r="C139" s="6" t="s">
        <v>116</v>
      </c>
      <c r="D139" s="6" t="s">
        <v>51</v>
      </c>
      <c r="E139" s="6" t="s">
        <v>20</v>
      </c>
      <c r="F139" s="7">
        <v>31</v>
      </c>
      <c r="G139" s="7">
        <v>50000</v>
      </c>
      <c r="H139" s="7">
        <v>1550000</v>
      </c>
      <c r="I139" s="16" t="str">
        <f>IF(D139="",$P$5,"")</f>
        <v/>
      </c>
      <c r="J139" s="6" t="str">
        <f>IF(I139="",D139,I139)</f>
        <v>West</v>
      </c>
      <c r="K139" s="6" t="str" cm="1">
        <f t="array" ref="K139">_xlfn.IFS(AND(J139=$S$6,E139=""),$T$6,AND(J139=$S$17,E139=""),$T$17,AND(J139=$S$29,E139=""),$T$29,AND(J139=$S$41,E139=""),$T$41,TRUE,"")</f>
        <v/>
      </c>
      <c r="L139" s="22" t="str">
        <f>IF(K139="",E139,K139)</f>
        <v>Sonia</v>
      </c>
      <c r="M139" s="33"/>
      <c r="N139" s="33"/>
      <c r="O139" s="33"/>
      <c r="P139" s="33"/>
      <c r="Q139" s="33"/>
      <c r="R139" s="33"/>
      <c r="S139" s="33"/>
      <c r="T139" s="33"/>
      <c r="U139" s="33"/>
      <c r="V139" s="33"/>
    </row>
    <row r="140" spans="1:22">
      <c r="A140" s="26">
        <v>45704</v>
      </c>
      <c r="B140" s="6" t="s">
        <v>295</v>
      </c>
      <c r="C140" s="6" t="s">
        <v>10</v>
      </c>
      <c r="D140" s="6" t="s">
        <v>11</v>
      </c>
      <c r="E140" s="6" t="s">
        <v>20</v>
      </c>
      <c r="F140" s="7">
        <v>35</v>
      </c>
      <c r="G140" s="7">
        <v>25000</v>
      </c>
      <c r="H140" s="7">
        <v>875000</v>
      </c>
      <c r="I140" s="16" t="str">
        <f>IF(D140="",$P$5,"")</f>
        <v/>
      </c>
      <c r="J140" s="6" t="str">
        <f>IF(I140="",D140,I140)</f>
        <v>South</v>
      </c>
      <c r="K140" s="6" t="str" cm="1">
        <f t="array" ref="K140">_xlfn.IFS(AND(J140=$S$6,E140=""),$T$6,AND(J140=$S$17,E140=""),$T$17,AND(J140=$S$29,E140=""),$T$29,AND(J140=$S$41,E140=""),$T$41,TRUE,"")</f>
        <v/>
      </c>
      <c r="L140" s="22" t="str">
        <f>IF(K140="",E140,K140)</f>
        <v>Sonia</v>
      </c>
      <c r="M140" s="33"/>
      <c r="N140" s="33"/>
      <c r="O140" s="33"/>
      <c r="P140" s="33"/>
      <c r="Q140" s="33"/>
      <c r="R140" s="33"/>
      <c r="S140" s="33"/>
      <c r="T140" s="33"/>
      <c r="U140" s="33"/>
      <c r="V140" s="33"/>
    </row>
    <row r="141" spans="1:22">
      <c r="A141" s="26">
        <v>45764</v>
      </c>
      <c r="B141" s="6" t="s">
        <v>297</v>
      </c>
      <c r="C141" s="6" t="s">
        <v>19</v>
      </c>
      <c r="D141" s="6" t="s">
        <v>29</v>
      </c>
      <c r="E141" s="6" t="s">
        <v>38</v>
      </c>
      <c r="F141" s="7">
        <v>35</v>
      </c>
      <c r="G141" s="7">
        <v>50000</v>
      </c>
      <c r="H141" s="7">
        <v>1750000</v>
      </c>
      <c r="I141" s="16" t="str">
        <f>IF(D141="",$P$5,"")</f>
        <v/>
      </c>
      <c r="J141" s="6" t="str">
        <f>IF(I141="",D141,I141)</f>
        <v>East</v>
      </c>
      <c r="K141" s="6" t="str" cm="1">
        <f t="array" ref="K141">_xlfn.IFS(AND(J141=$S$6,E141=""),$T$6,AND(J141=$S$17,E141=""),$T$17,AND(J141=$S$29,E141=""),$T$29,AND(J141=$S$41,E141=""),$T$41,TRUE,"")</f>
        <v/>
      </c>
      <c r="L141" s="22" t="str">
        <f>IF(K141="",E141,K141)</f>
        <v>Tina</v>
      </c>
      <c r="M141" s="33"/>
      <c r="N141" s="33"/>
      <c r="O141" s="33"/>
      <c r="P141" s="33"/>
      <c r="Q141" s="33"/>
      <c r="R141" s="33"/>
      <c r="S141" s="33"/>
      <c r="T141" s="33"/>
      <c r="U141" s="33"/>
      <c r="V141" s="33"/>
    </row>
    <row r="142" spans="1:22">
      <c r="A142" s="26">
        <v>45815</v>
      </c>
      <c r="B142" s="6" t="s">
        <v>298</v>
      </c>
      <c r="C142" s="6" t="s">
        <v>10</v>
      </c>
      <c r="D142" s="6" t="s">
        <v>51</v>
      </c>
      <c r="E142" s="6" t="s">
        <v>12</v>
      </c>
      <c r="F142" s="7">
        <v>2</v>
      </c>
      <c r="G142" s="7">
        <v>1200</v>
      </c>
      <c r="H142" s="7">
        <v>2400</v>
      </c>
      <c r="I142" s="16" t="str">
        <f>IF(D142="",$P$5,"")</f>
        <v/>
      </c>
      <c r="J142" s="6" t="str">
        <f>IF(I142="",D142,I142)</f>
        <v>West</v>
      </c>
      <c r="K142" s="6" t="str" cm="1">
        <f t="array" ref="K142">_xlfn.IFS(AND(J142=$S$6,E142=""),$T$6,AND(J142=$S$17,E142=""),$T$17,AND(J142=$S$29,E142=""),$T$29,AND(J142=$S$41,E142=""),$T$41,TRUE,"")</f>
        <v/>
      </c>
      <c r="L142" s="22" t="str">
        <f>IF(K142="",E142,K142)</f>
        <v>Rohit</v>
      </c>
      <c r="M142" s="33"/>
      <c r="N142" s="33"/>
      <c r="O142" s="33"/>
      <c r="P142" s="33"/>
      <c r="Q142" s="33"/>
      <c r="R142" s="33"/>
      <c r="S142" s="33"/>
      <c r="T142" s="33"/>
      <c r="U142" s="33"/>
      <c r="V142" s="33"/>
    </row>
    <row r="143" spans="1:22">
      <c r="A143" s="26">
        <v>45676</v>
      </c>
      <c r="B143" s="6" t="s">
        <v>300</v>
      </c>
      <c r="C143" s="6" t="s">
        <v>143</v>
      </c>
      <c r="D143" s="6" t="s">
        <v>51</v>
      </c>
      <c r="E143" s="6" t="s">
        <v>33</v>
      </c>
      <c r="F143" s="7">
        <v>32</v>
      </c>
      <c r="G143" s="7">
        <v>1200</v>
      </c>
      <c r="H143" s="7">
        <v>38400</v>
      </c>
      <c r="I143" s="16" t="str">
        <f>IF(D143="",$P$5,"")</f>
        <v/>
      </c>
      <c r="J143" s="6" t="str">
        <f>IF(I143="",D143,I143)</f>
        <v>West</v>
      </c>
      <c r="K143" s="6" t="str" cm="1">
        <f t="array" ref="K143">_xlfn.IFS(AND(J143=$S$6,E143=""),$T$6,AND(J143=$S$17,E143=""),$T$17,AND(J143=$S$29,E143=""),$T$29,AND(J143=$S$41,E143=""),$T$41,TRUE,"")</f>
        <v/>
      </c>
      <c r="L143" s="22" t="str">
        <f>IF(K143="",E143,K143)</f>
        <v>Karan</v>
      </c>
      <c r="M143" s="33"/>
      <c r="N143" s="33"/>
      <c r="O143" s="33"/>
      <c r="P143" s="33"/>
      <c r="Q143" s="33"/>
      <c r="R143" s="33"/>
      <c r="S143" s="33"/>
      <c r="T143" s="33"/>
      <c r="U143" s="33"/>
      <c r="V143" s="33"/>
    </row>
    <row r="144" spans="1:22">
      <c r="A144" s="26">
        <v>45807</v>
      </c>
      <c r="B144" s="6" t="s">
        <v>302</v>
      </c>
      <c r="C144" s="6" t="s">
        <v>19</v>
      </c>
      <c r="D144" s="6" t="s">
        <v>24</v>
      </c>
      <c r="E144" s="6" t="s">
        <v>72</v>
      </c>
      <c r="F144" s="7">
        <v>50</v>
      </c>
      <c r="G144" s="7">
        <v>30000</v>
      </c>
      <c r="H144" s="7">
        <v>1500000</v>
      </c>
      <c r="I144" s="16" t="str">
        <f>IF(D144="",$P$5,"")</f>
        <v/>
      </c>
      <c r="J144" s="6" t="str">
        <f>IF(I144="",D144,I144)</f>
        <v>North</v>
      </c>
      <c r="K144" s="6" t="str" cm="1">
        <f t="array" ref="K144">_xlfn.IFS(AND(J144=$S$6,E144=""),$T$6,AND(J144=$S$17,E144=""),$T$17,AND(J144=$S$29,E144=""),$T$29,AND(J144=$S$41,E144=""),$T$41,TRUE,"")</f>
        <v/>
      </c>
      <c r="L144" s="22" t="str">
        <f>IF(K144="",E144,K144)</f>
        <v>Vivek</v>
      </c>
      <c r="M144" s="33"/>
      <c r="N144" s="33"/>
      <c r="O144" s="33"/>
      <c r="P144" s="33"/>
      <c r="Q144" s="33"/>
      <c r="R144" s="33"/>
      <c r="S144" s="33"/>
      <c r="T144" s="33"/>
      <c r="U144" s="33"/>
      <c r="V144" s="33"/>
    </row>
    <row r="145" spans="1:22">
      <c r="A145" s="26">
        <v>45769</v>
      </c>
      <c r="B145" s="6" t="s">
        <v>304</v>
      </c>
      <c r="C145" s="6" t="s">
        <v>15</v>
      </c>
      <c r="D145" s="6" t="s">
        <v>51</v>
      </c>
      <c r="E145" s="6"/>
      <c r="F145" s="7">
        <v>10</v>
      </c>
      <c r="G145" s="7">
        <v>15000</v>
      </c>
      <c r="H145" s="7">
        <v>149305</v>
      </c>
      <c r="I145" s="16" t="str">
        <f>IF(D145="",$P$5,"")</f>
        <v/>
      </c>
      <c r="J145" s="6" t="str">
        <f>IF(I145="",D145,I145)</f>
        <v>West</v>
      </c>
      <c r="K145" s="6" t="str" cm="1">
        <f t="array" ref="K145">_xlfn.IFS(AND(J145=$S$6,E145=""),$T$6,AND(J145=$S$17,E145=""),$T$17,AND(J145=$S$29,E145=""),$T$29,AND(J145=$S$41,E145=""),$T$41,TRUE,"")</f>
        <v>Sonia</v>
      </c>
      <c r="L145" s="22" t="str">
        <f>IF(K145="",E145,K145)</f>
        <v>Sonia</v>
      </c>
      <c r="M145" s="33"/>
      <c r="N145" s="33"/>
      <c r="O145" s="33"/>
      <c r="P145" s="33"/>
      <c r="Q145" s="33"/>
      <c r="R145" s="33"/>
      <c r="S145" s="33"/>
      <c r="T145" s="33"/>
      <c r="U145" s="33"/>
      <c r="V145" s="33"/>
    </row>
    <row r="146" spans="1:22">
      <c r="A146" s="26">
        <v>45737</v>
      </c>
      <c r="B146" s="6" t="s">
        <v>305</v>
      </c>
      <c r="C146" s="6" t="s">
        <v>306</v>
      </c>
      <c r="D146" s="6" t="s">
        <v>24</v>
      </c>
      <c r="E146" s="6" t="s">
        <v>30</v>
      </c>
      <c r="F146" s="7">
        <v>22</v>
      </c>
      <c r="G146" s="7">
        <v>50000</v>
      </c>
      <c r="H146" s="7">
        <v>1100000</v>
      </c>
      <c r="I146" s="16" t="str">
        <f>IF(D146="",$P$5,"")</f>
        <v/>
      </c>
      <c r="J146" s="6" t="str">
        <f>IF(I146="",D146,I146)</f>
        <v>North</v>
      </c>
      <c r="K146" s="6" t="str" cm="1">
        <f t="array" ref="K146">_xlfn.IFS(AND(J146=$S$6,E146=""),$T$6,AND(J146=$S$17,E146=""),$T$17,AND(J146=$S$29,E146=""),$T$29,AND(J146=$S$41,E146=""),$T$41,TRUE,"")</f>
        <v/>
      </c>
      <c r="L146" s="22" t="str">
        <f>IF(K146="",E146,K146)</f>
        <v>Riya</v>
      </c>
      <c r="M146" s="33"/>
      <c r="N146" s="33"/>
      <c r="O146" s="33"/>
      <c r="P146" s="33"/>
      <c r="Q146" s="33"/>
      <c r="R146" s="33"/>
      <c r="S146" s="33"/>
      <c r="T146" s="33"/>
      <c r="U146" s="33"/>
      <c r="V146" s="33"/>
    </row>
    <row r="147" spans="1:22">
      <c r="A147" s="26">
        <v>45837</v>
      </c>
      <c r="B147" s="6" t="s">
        <v>307</v>
      </c>
      <c r="C147" s="6" t="s">
        <v>143</v>
      </c>
      <c r="D147" s="6" t="s">
        <v>24</v>
      </c>
      <c r="E147" s="6" t="s">
        <v>61</v>
      </c>
      <c r="F147" s="7">
        <v>12</v>
      </c>
      <c r="G147" s="7">
        <v>15000</v>
      </c>
      <c r="H147" s="7">
        <v>180000</v>
      </c>
      <c r="I147" s="16" t="str">
        <f>IF(D147="",$P$5,"")</f>
        <v/>
      </c>
      <c r="J147" s="6" t="str">
        <f>IF(I147="",D147,I147)</f>
        <v>North</v>
      </c>
      <c r="K147" s="6" t="str" cm="1">
        <f t="array" ref="K147">_xlfn.IFS(AND(J147=$S$6,E147=""),$T$6,AND(J147=$S$17,E147=""),$T$17,AND(J147=$S$29,E147=""),$T$29,AND(J147=$S$41,E147=""),$T$41,TRUE,"")</f>
        <v/>
      </c>
      <c r="L147" s="22" t="str">
        <f>IF(K147="",E147,K147)</f>
        <v>Priya</v>
      </c>
      <c r="M147" s="33"/>
      <c r="N147" s="33"/>
      <c r="O147" s="33"/>
      <c r="P147" s="33"/>
      <c r="Q147" s="33"/>
      <c r="R147" s="33"/>
      <c r="S147" s="33"/>
      <c r="T147" s="33"/>
      <c r="U147" s="33"/>
      <c r="V147" s="33"/>
    </row>
    <row r="148" spans="1:22">
      <c r="A148" s="26">
        <v>45694</v>
      </c>
      <c r="B148" s="6" t="s">
        <v>309</v>
      </c>
      <c r="C148" s="6" t="s">
        <v>19</v>
      </c>
      <c r="D148" s="6" t="s">
        <v>24</v>
      </c>
      <c r="E148" s="6" t="s">
        <v>38</v>
      </c>
      <c r="F148" s="7">
        <v>11</v>
      </c>
      <c r="G148" s="7">
        <v>25000</v>
      </c>
      <c r="H148" s="7">
        <v>275159</v>
      </c>
      <c r="I148" s="16" t="str">
        <f>IF(D148="",$P$5,"")</f>
        <v/>
      </c>
      <c r="J148" s="6" t="str">
        <f>IF(I148="",D148,I148)</f>
        <v>North</v>
      </c>
      <c r="K148" s="6" t="str" cm="1">
        <f t="array" ref="K148">_xlfn.IFS(AND(J148=$S$6,E148=""),$T$6,AND(J148=$S$17,E148=""),$T$17,AND(J148=$S$29,E148=""),$T$29,AND(J148=$S$41,E148=""),$T$41,TRUE,"")</f>
        <v/>
      </c>
      <c r="L148" s="22" t="str">
        <f>IF(K148="",E148,K148)</f>
        <v>Tina</v>
      </c>
      <c r="M148" s="33"/>
      <c r="N148" s="33"/>
      <c r="O148" s="33"/>
      <c r="P148" s="33"/>
      <c r="Q148" s="33"/>
      <c r="R148" s="33"/>
      <c r="S148" s="33"/>
      <c r="T148" s="33"/>
      <c r="U148" s="33"/>
      <c r="V148" s="33"/>
    </row>
    <row r="149" spans="1:22">
      <c r="A149" s="26">
        <v>45766</v>
      </c>
      <c r="B149" s="6" t="s">
        <v>311</v>
      </c>
      <c r="C149" s="6" t="s">
        <v>306</v>
      </c>
      <c r="D149" s="6" t="s">
        <v>24</v>
      </c>
      <c r="E149" s="6" t="s">
        <v>33</v>
      </c>
      <c r="F149" s="7">
        <v>45</v>
      </c>
      <c r="G149" s="7">
        <v>50000</v>
      </c>
      <c r="H149" s="7">
        <v>2250000</v>
      </c>
      <c r="I149" s="16" t="str">
        <f>IF(D149="",$P$5,"")</f>
        <v/>
      </c>
      <c r="J149" s="6" t="str">
        <f>IF(I149="",D149,I149)</f>
        <v>North</v>
      </c>
      <c r="K149" s="6" t="str" cm="1">
        <f t="array" ref="K149">_xlfn.IFS(AND(J149=$S$6,E149=""),$T$6,AND(J149=$S$17,E149=""),$T$17,AND(J149=$S$29,E149=""),$T$29,AND(J149=$S$41,E149=""),$T$41,TRUE,"")</f>
        <v/>
      </c>
      <c r="L149" s="22" t="str">
        <f>IF(K149="",E149,K149)</f>
        <v>Karan</v>
      </c>
      <c r="M149" s="33"/>
      <c r="N149" s="33"/>
      <c r="O149" s="33"/>
      <c r="P149" s="33"/>
      <c r="Q149" s="33"/>
      <c r="R149" s="33"/>
      <c r="S149" s="33"/>
      <c r="T149" s="33"/>
      <c r="U149" s="33"/>
      <c r="V149" s="33"/>
    </row>
    <row r="150" spans="1:22">
      <c r="A150" s="26">
        <v>45746</v>
      </c>
      <c r="B150" s="6" t="s">
        <v>313</v>
      </c>
      <c r="C150" s="6" t="s">
        <v>19</v>
      </c>
      <c r="D150" s="6" t="s">
        <v>29</v>
      </c>
      <c r="E150" s="6" t="s">
        <v>16</v>
      </c>
      <c r="F150" s="7">
        <v>35</v>
      </c>
      <c r="G150" s="7">
        <v>25000</v>
      </c>
      <c r="H150" s="7">
        <v>875000</v>
      </c>
      <c r="I150" s="16" t="str">
        <f>IF(D150="",$P$5,"")</f>
        <v/>
      </c>
      <c r="J150" s="6" t="str">
        <f>IF(I150="",D150,I150)</f>
        <v>East</v>
      </c>
      <c r="K150" s="6" t="str" cm="1">
        <f t="array" ref="K150">_xlfn.IFS(AND(J150=$S$6,E150=""),$T$6,AND(J150=$S$17,E150=""),$T$17,AND(J150=$S$29,E150=""),$T$29,AND(J150=$S$41,E150=""),$T$41,TRUE,"")</f>
        <v/>
      </c>
      <c r="L150" s="22" t="str">
        <f>IF(K150="",E150,K150)</f>
        <v>Amit</v>
      </c>
      <c r="M150" s="33"/>
      <c r="N150" s="33"/>
      <c r="O150" s="33"/>
      <c r="P150" s="33"/>
      <c r="Q150" s="33"/>
      <c r="R150" s="33"/>
      <c r="S150" s="33"/>
      <c r="T150" s="33"/>
      <c r="U150" s="33"/>
      <c r="V150" s="33"/>
    </row>
    <row r="151" spans="1:22">
      <c r="A151" s="26">
        <v>45731</v>
      </c>
      <c r="B151" s="6" t="s">
        <v>315</v>
      </c>
      <c r="C151" s="6" t="s">
        <v>19</v>
      </c>
      <c r="D151" s="6" t="s">
        <v>11</v>
      </c>
      <c r="E151" s="6" t="s">
        <v>20</v>
      </c>
      <c r="F151" s="7">
        <v>35</v>
      </c>
      <c r="G151" s="7">
        <v>25000</v>
      </c>
      <c r="H151" s="7">
        <v>875000</v>
      </c>
      <c r="I151" s="16" t="str">
        <f>IF(D151="",$P$5,"")</f>
        <v/>
      </c>
      <c r="J151" s="6" t="str">
        <f>IF(I151="",D151,I151)</f>
        <v>South</v>
      </c>
      <c r="K151" s="6" t="str" cm="1">
        <f t="array" ref="K151">_xlfn.IFS(AND(J151=$S$6,E151=""),$T$6,AND(J151=$S$17,E151=""),$T$17,AND(J151=$S$29,E151=""),$T$29,AND(J151=$S$41,E151=""),$T$41,TRUE,"")</f>
        <v/>
      </c>
      <c r="L151" s="22" t="str">
        <f>IF(K151="",E151,K151)</f>
        <v>Sonia</v>
      </c>
      <c r="M151" s="33"/>
      <c r="N151" s="33"/>
      <c r="O151" s="33"/>
      <c r="P151" s="33"/>
      <c r="Q151" s="33"/>
      <c r="R151" s="33"/>
      <c r="S151" s="33"/>
      <c r="T151" s="33"/>
      <c r="U151" s="33"/>
      <c r="V151" s="33"/>
    </row>
    <row r="152" spans="1:22">
      <c r="A152" s="26">
        <v>45680</v>
      </c>
      <c r="B152" s="6" t="s">
        <v>317</v>
      </c>
      <c r="C152" s="6" t="s">
        <v>19</v>
      </c>
      <c r="D152" s="6" t="s">
        <v>24</v>
      </c>
      <c r="E152" s="6" t="s">
        <v>12</v>
      </c>
      <c r="F152" s="7">
        <v>27</v>
      </c>
      <c r="G152" s="7">
        <v>15000</v>
      </c>
      <c r="H152" s="7">
        <v>405000</v>
      </c>
      <c r="I152" s="16" t="str">
        <f>IF(D152="",$P$5,"")</f>
        <v/>
      </c>
      <c r="J152" s="6" t="str">
        <f>IF(I152="",D152,I152)</f>
        <v>North</v>
      </c>
      <c r="K152" s="6" t="str" cm="1">
        <f t="array" ref="K152">_xlfn.IFS(AND(J152=$S$6,E152=""),$T$6,AND(J152=$S$17,E152=""),$T$17,AND(J152=$S$29,E152=""),$T$29,AND(J152=$S$41,E152=""),$T$41,TRUE,"")</f>
        <v/>
      </c>
      <c r="L152" s="22" t="str">
        <f>IF(K152="",E152,K152)</f>
        <v>Rohit</v>
      </c>
      <c r="M152" s="33"/>
      <c r="N152" s="33"/>
      <c r="O152" s="33"/>
      <c r="P152" s="33"/>
      <c r="Q152" s="33"/>
      <c r="R152" s="33"/>
      <c r="S152" s="33"/>
      <c r="T152" s="33"/>
      <c r="U152" s="33"/>
      <c r="V152" s="33"/>
    </row>
    <row r="153" spans="1:22">
      <c r="A153" s="26">
        <v>45783</v>
      </c>
      <c r="B153" s="6" t="s">
        <v>318</v>
      </c>
      <c r="C153" s="6" t="s">
        <v>260</v>
      </c>
      <c r="D153" s="6" t="s">
        <v>11</v>
      </c>
      <c r="E153" s="6" t="s">
        <v>46</v>
      </c>
      <c r="F153" s="7">
        <v>18</v>
      </c>
      <c r="G153" s="7">
        <v>15000</v>
      </c>
      <c r="H153" s="7">
        <v>270000</v>
      </c>
      <c r="I153" s="16" t="str">
        <f>IF(D153="",$P$5,"")</f>
        <v/>
      </c>
      <c r="J153" s="6" t="str">
        <f>IF(I153="",D153,I153)</f>
        <v>South</v>
      </c>
      <c r="K153" s="6" t="str" cm="1">
        <f t="array" ref="K153">_xlfn.IFS(AND(J153=$S$6,E153=""),$T$6,AND(J153=$S$17,E153=""),$T$17,AND(J153=$S$29,E153=""),$T$29,AND(J153=$S$41,E153=""),$T$41,TRUE,"")</f>
        <v/>
      </c>
      <c r="L153" s="22" t="str">
        <f>IF(K153="",E153,K153)</f>
        <v>Manish</v>
      </c>
      <c r="M153" s="33"/>
      <c r="N153" s="33"/>
      <c r="O153" s="33"/>
      <c r="P153" s="33"/>
      <c r="Q153" s="33"/>
      <c r="R153" s="33"/>
      <c r="S153" s="33"/>
      <c r="T153" s="33"/>
      <c r="U153" s="33"/>
      <c r="V153" s="33"/>
    </row>
    <row r="154" spans="1:22">
      <c r="A154" s="26">
        <v>45749</v>
      </c>
      <c r="B154" s="6" t="s">
        <v>320</v>
      </c>
      <c r="C154" s="6" t="s">
        <v>10</v>
      </c>
      <c r="D154" s="6" t="s">
        <v>24</v>
      </c>
      <c r="E154" s="6" t="s">
        <v>16</v>
      </c>
      <c r="F154" s="7">
        <v>34</v>
      </c>
      <c r="G154" s="7">
        <v>50000</v>
      </c>
      <c r="H154" s="7">
        <v>1700000</v>
      </c>
      <c r="I154" s="16" t="str">
        <f>IF(D154="",$P$5,"")</f>
        <v/>
      </c>
      <c r="J154" s="6" t="str">
        <f>IF(I154="",D154,I154)</f>
        <v>North</v>
      </c>
      <c r="K154" s="6" t="str" cm="1">
        <f t="array" ref="K154">_xlfn.IFS(AND(J154=$S$6,E154=""),$T$6,AND(J154=$S$17,E154=""),$T$17,AND(J154=$S$29,E154=""),$T$29,AND(J154=$S$41,E154=""),$T$41,TRUE,"")</f>
        <v/>
      </c>
      <c r="L154" s="22" t="str">
        <f>IF(K154="",E154,K154)</f>
        <v>Amit</v>
      </c>
      <c r="M154" s="33"/>
      <c r="N154" s="33"/>
      <c r="O154" s="33"/>
      <c r="P154" s="33"/>
      <c r="Q154" s="33"/>
      <c r="R154" s="33"/>
      <c r="S154" s="33"/>
      <c r="T154" s="33"/>
      <c r="U154" s="33"/>
      <c r="V154" s="33"/>
    </row>
    <row r="155" spans="1:22">
      <c r="A155" s="26">
        <v>45789</v>
      </c>
      <c r="B155" s="6" t="s">
        <v>321</v>
      </c>
      <c r="C155" s="6" t="s">
        <v>15</v>
      </c>
      <c r="D155" s="6" t="s">
        <v>29</v>
      </c>
      <c r="E155" s="6" t="s">
        <v>25</v>
      </c>
      <c r="F155" s="7">
        <v>7</v>
      </c>
      <c r="G155" s="7">
        <v>50000</v>
      </c>
      <c r="H155" s="7">
        <v>350000</v>
      </c>
      <c r="I155" s="16" t="str">
        <f>IF(D155="",$P$5,"")</f>
        <v/>
      </c>
      <c r="J155" s="6" t="str">
        <f>IF(I155="",D155,I155)</f>
        <v>East</v>
      </c>
      <c r="K155" s="6" t="str" cm="1">
        <f t="array" ref="K155">_xlfn.IFS(AND(J155=$S$6,E155=""),$T$6,AND(J155=$S$17,E155=""),$T$17,AND(J155=$S$29,E155=""),$T$29,AND(J155=$S$41,E155=""),$T$41,TRUE,"")</f>
        <v/>
      </c>
      <c r="L155" s="22" t="str">
        <f>IF(K155="",E155,K155)</f>
        <v>Neha</v>
      </c>
      <c r="M155" s="33"/>
      <c r="N155" s="33"/>
      <c r="O155" s="33"/>
      <c r="P155" s="33"/>
      <c r="Q155" s="33"/>
      <c r="R155" s="33"/>
      <c r="S155" s="33"/>
      <c r="T155" s="33"/>
      <c r="U155" s="33"/>
      <c r="V155" s="33"/>
    </row>
    <row r="156" spans="1:22">
      <c r="A156" s="26">
        <v>45761</v>
      </c>
      <c r="B156" s="6" t="s">
        <v>322</v>
      </c>
      <c r="C156" s="6" t="s">
        <v>19</v>
      </c>
      <c r="D156" s="6" t="s">
        <v>29</v>
      </c>
      <c r="E156" s="6" t="s">
        <v>61</v>
      </c>
      <c r="F156" s="7">
        <v>26</v>
      </c>
      <c r="G156" s="7">
        <v>15000</v>
      </c>
      <c r="H156" s="7">
        <v>390000</v>
      </c>
      <c r="I156" s="16" t="str">
        <f>IF(D156="",$P$5,"")</f>
        <v/>
      </c>
      <c r="J156" s="6" t="str">
        <f>IF(I156="",D156,I156)</f>
        <v>East</v>
      </c>
      <c r="K156" s="6" t="str" cm="1">
        <f t="array" ref="K156">_xlfn.IFS(AND(J156=$S$6,E156=""),$T$6,AND(J156=$S$17,E156=""),$T$17,AND(J156=$S$29,E156=""),$T$29,AND(J156=$S$41,E156=""),$T$41,TRUE,"")</f>
        <v/>
      </c>
      <c r="L156" s="22" t="str">
        <f>IF(K156="",E156,K156)</f>
        <v>Priya</v>
      </c>
      <c r="M156" s="33"/>
      <c r="N156" s="33"/>
      <c r="O156" s="33"/>
      <c r="P156" s="33"/>
      <c r="Q156" s="33"/>
      <c r="R156" s="33"/>
      <c r="S156" s="33"/>
      <c r="T156" s="33"/>
      <c r="U156" s="33"/>
      <c r="V156" s="33"/>
    </row>
    <row r="157" spans="1:22">
      <c r="A157" s="26">
        <v>45700</v>
      </c>
      <c r="B157" s="6" t="s">
        <v>325</v>
      </c>
      <c r="C157" s="6" t="s">
        <v>15</v>
      </c>
      <c r="D157" s="6" t="s">
        <v>51</v>
      </c>
      <c r="E157" s="6" t="s">
        <v>46</v>
      </c>
      <c r="F157" s="7">
        <v>8</v>
      </c>
      <c r="G157" s="7">
        <v>15000</v>
      </c>
      <c r="H157" s="7">
        <v>120000</v>
      </c>
      <c r="I157" s="16" t="str">
        <f>IF(D157="",$P$5,"")</f>
        <v/>
      </c>
      <c r="J157" s="6" t="str">
        <f>IF(I157="",D157,I157)</f>
        <v>West</v>
      </c>
      <c r="K157" s="6" t="str" cm="1">
        <f t="array" ref="K157">_xlfn.IFS(AND(J157=$S$6,E157=""),$T$6,AND(J157=$S$17,E157=""),$T$17,AND(J157=$S$29,E157=""),$T$29,AND(J157=$S$41,E157=""),$T$41,TRUE,"")</f>
        <v/>
      </c>
      <c r="L157" s="22" t="str">
        <f>IF(K157="",E157,K157)</f>
        <v>Manish</v>
      </c>
      <c r="M157" s="33"/>
      <c r="N157" s="33"/>
      <c r="O157" s="33"/>
      <c r="P157" s="33"/>
      <c r="Q157" s="33"/>
      <c r="R157" s="33"/>
      <c r="S157" s="33"/>
      <c r="T157" s="33"/>
      <c r="U157" s="33"/>
      <c r="V157" s="33"/>
    </row>
    <row r="158" spans="1:22">
      <c r="A158" s="26">
        <v>45662</v>
      </c>
      <c r="B158" s="6" t="s">
        <v>327</v>
      </c>
      <c r="C158" s="6" t="s">
        <v>23</v>
      </c>
      <c r="D158" s="6" t="s">
        <v>29</v>
      </c>
      <c r="E158" s="6" t="s">
        <v>12</v>
      </c>
      <c r="F158" s="7">
        <v>3</v>
      </c>
      <c r="G158" s="7">
        <v>25000</v>
      </c>
      <c r="H158" s="7">
        <v>75000</v>
      </c>
      <c r="I158" s="16" t="str">
        <f>IF(D158="",$P$5,"")</f>
        <v/>
      </c>
      <c r="J158" s="6" t="str">
        <f>IF(I158="",D158,I158)</f>
        <v>East</v>
      </c>
      <c r="K158" s="6" t="str" cm="1">
        <f t="array" ref="K158">_xlfn.IFS(AND(J158=$S$6,E158=""),$T$6,AND(J158=$S$17,E158=""),$T$17,AND(J158=$S$29,E158=""),$T$29,AND(J158=$S$41,E158=""),$T$41,TRUE,"")</f>
        <v/>
      </c>
      <c r="L158" s="22" t="str">
        <f>IF(K158="",E158,K158)</f>
        <v>Rohit</v>
      </c>
      <c r="M158" s="33"/>
      <c r="N158" s="33"/>
      <c r="O158" s="33"/>
      <c r="P158" s="33"/>
      <c r="Q158" s="33"/>
      <c r="R158" s="33"/>
      <c r="S158" s="33"/>
      <c r="T158" s="33"/>
      <c r="U158" s="33"/>
      <c r="V158" s="33"/>
    </row>
    <row r="159" spans="1:22">
      <c r="A159" s="26">
        <v>45803</v>
      </c>
      <c r="B159" s="6" t="s">
        <v>329</v>
      </c>
      <c r="C159" s="6" t="s">
        <v>116</v>
      </c>
      <c r="D159" s="6" t="s">
        <v>51</v>
      </c>
      <c r="E159" s="6"/>
      <c r="F159" s="7">
        <v>25</v>
      </c>
      <c r="G159" s="7">
        <v>15000</v>
      </c>
      <c r="H159" s="7">
        <v>375000</v>
      </c>
      <c r="I159" s="16" t="str">
        <f>IF(D159="",$P$5,"")</f>
        <v/>
      </c>
      <c r="J159" s="6" t="str">
        <f>IF(I159="",D159,I159)</f>
        <v>West</v>
      </c>
      <c r="K159" s="6" t="str" cm="1">
        <f t="array" ref="K159">_xlfn.IFS(AND(J159=$S$6,E159=""),$T$6,AND(J159=$S$17,E159=""),$T$17,AND(J159=$S$29,E159=""),$T$29,AND(J159=$S$41,E159=""),$T$41,TRUE,"")</f>
        <v>Sonia</v>
      </c>
      <c r="L159" s="22" t="str">
        <f>IF(K159="",E159,K159)</f>
        <v>Sonia</v>
      </c>
      <c r="M159" s="33"/>
      <c r="N159" s="33"/>
      <c r="O159" s="33"/>
      <c r="P159" s="33"/>
      <c r="Q159" s="33"/>
      <c r="R159" s="33"/>
      <c r="S159" s="33"/>
      <c r="T159" s="33"/>
      <c r="U159" s="33"/>
      <c r="V159" s="33"/>
    </row>
    <row r="160" spans="1:22">
      <c r="A160" s="26">
        <v>45829</v>
      </c>
      <c r="B160" s="6" t="s">
        <v>330</v>
      </c>
      <c r="C160" s="6" t="s">
        <v>15</v>
      </c>
      <c r="D160" s="6" t="s">
        <v>29</v>
      </c>
      <c r="E160" s="6" t="s">
        <v>46</v>
      </c>
      <c r="F160" s="7">
        <v>6</v>
      </c>
      <c r="G160" s="7">
        <v>50000</v>
      </c>
      <c r="H160" s="7">
        <v>300000</v>
      </c>
      <c r="I160" s="16" t="str">
        <f>IF(D160="",$P$5,"")</f>
        <v/>
      </c>
      <c r="J160" s="6" t="str">
        <f>IF(I160="",D160,I160)</f>
        <v>East</v>
      </c>
      <c r="K160" s="6" t="str" cm="1">
        <f t="array" ref="K160">_xlfn.IFS(AND(J160=$S$6,E160=""),$T$6,AND(J160=$S$17,E160=""),$T$17,AND(J160=$S$29,E160=""),$T$29,AND(J160=$S$41,E160=""),$T$41,TRUE,"")</f>
        <v/>
      </c>
      <c r="L160" s="22" t="str">
        <f>IF(K160="",E160,K160)</f>
        <v>Manish</v>
      </c>
      <c r="M160" s="33"/>
      <c r="N160" s="33"/>
      <c r="O160" s="33"/>
      <c r="P160" s="33"/>
      <c r="Q160" s="33"/>
      <c r="R160" s="33"/>
      <c r="S160" s="33"/>
      <c r="T160" s="33"/>
      <c r="U160" s="33"/>
      <c r="V160" s="33"/>
    </row>
    <row r="161" spans="1:22">
      <c r="A161" s="26">
        <v>45810</v>
      </c>
      <c r="B161" s="6" t="s">
        <v>332</v>
      </c>
      <c r="C161" s="6" t="s">
        <v>23</v>
      </c>
      <c r="D161" s="6" t="s">
        <v>11</v>
      </c>
      <c r="E161" s="6" t="s">
        <v>16</v>
      </c>
      <c r="F161" s="7">
        <v>32</v>
      </c>
      <c r="G161" s="7">
        <v>30000</v>
      </c>
      <c r="H161" s="7">
        <v>960000</v>
      </c>
      <c r="I161" s="16" t="str">
        <f>IF(D161="",$P$5,"")</f>
        <v/>
      </c>
      <c r="J161" s="6" t="str">
        <f>IF(I161="",D161,I161)</f>
        <v>South</v>
      </c>
      <c r="K161" s="6" t="str" cm="1">
        <f t="array" ref="K161">_xlfn.IFS(AND(J161=$S$6,E161=""),$T$6,AND(J161=$S$17,E161=""),$T$17,AND(J161=$S$29,E161=""),$T$29,AND(J161=$S$41,E161=""),$T$41,TRUE,"")</f>
        <v/>
      </c>
      <c r="L161" s="22" t="str">
        <f>IF(K161="",E161,K161)</f>
        <v>Amit</v>
      </c>
      <c r="M161" s="33"/>
      <c r="N161" s="33"/>
      <c r="O161" s="33"/>
      <c r="P161" s="33"/>
      <c r="Q161" s="33"/>
      <c r="R161" s="33"/>
      <c r="S161" s="33"/>
      <c r="T161" s="33"/>
      <c r="U161" s="33"/>
      <c r="V161" s="33"/>
    </row>
    <row r="162" spans="1:22">
      <c r="A162" s="26">
        <v>45682</v>
      </c>
      <c r="B162" s="6" t="s">
        <v>334</v>
      </c>
      <c r="C162" s="6" t="s">
        <v>15</v>
      </c>
      <c r="D162" s="6" t="s">
        <v>24</v>
      </c>
      <c r="E162" s="6" t="s">
        <v>38</v>
      </c>
      <c r="F162" s="7">
        <v>31</v>
      </c>
      <c r="G162" s="7">
        <v>800</v>
      </c>
      <c r="H162" s="7">
        <v>24800</v>
      </c>
      <c r="I162" s="16" t="str">
        <f>IF(D162="",$P$5,"")</f>
        <v/>
      </c>
      <c r="J162" s="6" t="str">
        <f>IF(I162="",D162,I162)</f>
        <v>North</v>
      </c>
      <c r="K162" s="6" t="str" cm="1">
        <f t="array" ref="K162">_xlfn.IFS(AND(J162=$S$6,E162=""),$T$6,AND(J162=$S$17,E162=""),$T$17,AND(J162=$S$29,E162=""),$T$29,AND(J162=$S$41,E162=""),$T$41,TRUE,"")</f>
        <v/>
      </c>
      <c r="L162" s="22" t="str">
        <f>IF(K162="",E162,K162)</f>
        <v>Tina</v>
      </c>
      <c r="M162" s="33"/>
      <c r="N162" s="33"/>
      <c r="O162" s="33"/>
      <c r="P162" s="33"/>
      <c r="Q162" s="33"/>
      <c r="R162" s="33"/>
      <c r="S162" s="33"/>
      <c r="T162" s="33"/>
      <c r="U162" s="33"/>
      <c r="V162" s="33"/>
    </row>
    <row r="163" spans="1:22">
      <c r="A163" s="26">
        <v>45717</v>
      </c>
      <c r="B163" s="6" t="s">
        <v>336</v>
      </c>
      <c r="C163" s="6" t="s">
        <v>260</v>
      </c>
      <c r="D163" s="6" t="s">
        <v>11</v>
      </c>
      <c r="E163" s="6" t="s">
        <v>30</v>
      </c>
      <c r="F163" s="7">
        <v>48</v>
      </c>
      <c r="G163" s="7">
        <v>1200</v>
      </c>
      <c r="H163" s="7">
        <v>57600</v>
      </c>
      <c r="I163" s="16" t="str">
        <f>IF(D163="",$P$5,"")</f>
        <v/>
      </c>
      <c r="J163" s="6" t="str">
        <f>IF(I163="",D163,I163)</f>
        <v>South</v>
      </c>
      <c r="K163" s="6" t="str" cm="1">
        <f t="array" ref="K163">_xlfn.IFS(AND(J163=$S$6,E163=""),$T$6,AND(J163=$S$17,E163=""),$T$17,AND(J163=$S$29,E163=""),$T$29,AND(J163=$S$41,E163=""),$T$41,TRUE,"")</f>
        <v/>
      </c>
      <c r="L163" s="22" t="str">
        <f>IF(K163="",E163,K163)</f>
        <v>Riya</v>
      </c>
      <c r="M163" s="33"/>
      <c r="N163" s="33"/>
      <c r="O163" s="33"/>
      <c r="P163" s="33"/>
      <c r="Q163" s="33"/>
      <c r="R163" s="33"/>
      <c r="S163" s="33"/>
      <c r="T163" s="33"/>
      <c r="U163" s="33"/>
      <c r="V163" s="33"/>
    </row>
    <row r="164" spans="1:22">
      <c r="A164" s="26">
        <v>45714</v>
      </c>
      <c r="B164" s="6" t="s">
        <v>338</v>
      </c>
      <c r="C164" s="6" t="s">
        <v>15</v>
      </c>
      <c r="D164" s="6" t="s">
        <v>29</v>
      </c>
      <c r="E164" s="6" t="s">
        <v>61</v>
      </c>
      <c r="F164" s="7">
        <v>44</v>
      </c>
      <c r="G164" s="7">
        <v>50000</v>
      </c>
      <c r="H164" s="7">
        <v>2200000</v>
      </c>
      <c r="I164" s="16" t="str">
        <f>IF(D164="",$P$5,"")</f>
        <v/>
      </c>
      <c r="J164" s="6" t="str">
        <f>IF(I164="",D164,I164)</f>
        <v>East</v>
      </c>
      <c r="K164" s="6" t="str" cm="1">
        <f t="array" ref="K164">_xlfn.IFS(AND(J164=$S$6,E164=""),$T$6,AND(J164=$S$17,E164=""),$T$17,AND(J164=$S$29,E164=""),$T$29,AND(J164=$S$41,E164=""),$T$41,TRUE,"")</f>
        <v/>
      </c>
      <c r="L164" s="22" t="str">
        <f>IF(K164="",E164,K164)</f>
        <v>Priya</v>
      </c>
      <c r="M164" s="33"/>
      <c r="N164" s="33"/>
      <c r="O164" s="33"/>
      <c r="P164" s="33"/>
      <c r="Q164" s="33"/>
      <c r="R164" s="33"/>
      <c r="S164" s="33"/>
      <c r="T164" s="33"/>
      <c r="U164" s="33"/>
      <c r="V164" s="33"/>
    </row>
    <row r="165" spans="1:22">
      <c r="A165" s="26">
        <v>45780</v>
      </c>
      <c r="B165" s="6" t="s">
        <v>340</v>
      </c>
      <c r="C165" s="6" t="s">
        <v>15</v>
      </c>
      <c r="D165" s="6" t="s">
        <v>51</v>
      </c>
      <c r="E165" s="6" t="s">
        <v>46</v>
      </c>
      <c r="F165" s="7">
        <v>19</v>
      </c>
      <c r="G165" s="7">
        <v>25000</v>
      </c>
      <c r="H165" s="7">
        <v>475000</v>
      </c>
      <c r="I165" s="16" t="str">
        <f>IF(D165="",$P$5,"")</f>
        <v/>
      </c>
      <c r="J165" s="6" t="str">
        <f>IF(I165="",D165,I165)</f>
        <v>West</v>
      </c>
      <c r="K165" s="6" t="str" cm="1">
        <f t="array" ref="K165">_xlfn.IFS(AND(J165=$S$6,E165=""),$T$6,AND(J165=$S$17,E165=""),$T$17,AND(J165=$S$29,E165=""),$T$29,AND(J165=$S$41,E165=""),$T$41,TRUE,"")</f>
        <v/>
      </c>
      <c r="L165" s="22" t="str">
        <f>IF(K165="",E165,K165)</f>
        <v>Manish</v>
      </c>
      <c r="M165" s="33"/>
      <c r="N165" s="33"/>
      <c r="O165" s="33"/>
      <c r="P165" s="33"/>
      <c r="Q165" s="33"/>
      <c r="R165" s="33"/>
      <c r="S165" s="33"/>
      <c r="T165" s="33"/>
      <c r="U165" s="33"/>
      <c r="V165" s="33"/>
    </row>
    <row r="166" spans="1:22">
      <c r="A166" s="26">
        <v>45821</v>
      </c>
      <c r="B166" s="6" t="s">
        <v>342</v>
      </c>
      <c r="C166" s="6" t="s">
        <v>10</v>
      </c>
      <c r="D166" s="6" t="s">
        <v>11</v>
      </c>
      <c r="E166" s="6" t="s">
        <v>61</v>
      </c>
      <c r="F166" s="7">
        <v>32</v>
      </c>
      <c r="G166" s="7">
        <v>25000</v>
      </c>
      <c r="H166" s="7">
        <v>800000</v>
      </c>
      <c r="I166" s="16" t="str">
        <f>IF(D166="",$P$5,"")</f>
        <v/>
      </c>
      <c r="J166" s="6" t="str">
        <f>IF(I166="",D166,I166)</f>
        <v>South</v>
      </c>
      <c r="K166" s="6" t="str" cm="1">
        <f t="array" ref="K166">_xlfn.IFS(AND(J166=$S$6,E166=""),$T$6,AND(J166=$S$17,E166=""),$T$17,AND(J166=$S$29,E166=""),$T$29,AND(J166=$S$41,E166=""),$T$41,TRUE,"")</f>
        <v/>
      </c>
      <c r="L166" s="22" t="str">
        <f>IF(K166="",E166,K166)</f>
        <v>Priya</v>
      </c>
      <c r="M166" s="33"/>
      <c r="N166" s="33"/>
      <c r="O166" s="33"/>
      <c r="P166" s="33"/>
      <c r="Q166" s="33"/>
      <c r="R166" s="33"/>
      <c r="S166" s="33"/>
      <c r="T166" s="33"/>
      <c r="U166" s="33"/>
      <c r="V166" s="33"/>
    </row>
    <row r="167" spans="1:22">
      <c r="A167" s="26">
        <v>45773</v>
      </c>
      <c r="B167" s="6" t="s">
        <v>343</v>
      </c>
      <c r="C167" s="6" t="s">
        <v>23</v>
      </c>
      <c r="D167" s="6" t="s">
        <v>51</v>
      </c>
      <c r="E167" s="6" t="s">
        <v>30</v>
      </c>
      <c r="F167" s="7">
        <v>20</v>
      </c>
      <c r="G167" s="7">
        <v>25000</v>
      </c>
      <c r="H167" s="7">
        <v>500000</v>
      </c>
      <c r="I167" s="16" t="str">
        <f>IF(D167="",$P$5,"")</f>
        <v/>
      </c>
      <c r="J167" s="6" t="str">
        <f>IF(I167="",D167,I167)</f>
        <v>West</v>
      </c>
      <c r="K167" s="6" t="str" cm="1">
        <f t="array" ref="K167">_xlfn.IFS(AND(J167=$S$6,E167=""),$T$6,AND(J167=$S$17,E167=""),$T$17,AND(J167=$S$29,E167=""),$T$29,AND(J167=$S$41,E167=""),$T$41,TRUE,"")</f>
        <v/>
      </c>
      <c r="L167" s="22" t="str">
        <f>IF(K167="",E167,K167)</f>
        <v>Riya</v>
      </c>
      <c r="M167" s="33"/>
      <c r="N167" s="33"/>
      <c r="O167" s="33"/>
      <c r="P167" s="33"/>
      <c r="Q167" s="33"/>
      <c r="R167" s="33"/>
      <c r="S167" s="33"/>
      <c r="T167" s="33"/>
      <c r="U167" s="33"/>
      <c r="V167" s="33"/>
    </row>
    <row r="168" spans="1:22">
      <c r="A168" s="26">
        <v>45691</v>
      </c>
      <c r="B168" s="6" t="s">
        <v>344</v>
      </c>
      <c r="C168" s="6" t="s">
        <v>19</v>
      </c>
      <c r="D168" s="6" t="s">
        <v>51</v>
      </c>
      <c r="E168" s="6" t="s">
        <v>12</v>
      </c>
      <c r="F168" s="7">
        <v>4</v>
      </c>
      <c r="G168" s="7">
        <v>15000</v>
      </c>
      <c r="H168" s="7">
        <v>60000</v>
      </c>
      <c r="I168" s="16" t="str">
        <f>IF(D168="",$P$5,"")</f>
        <v/>
      </c>
      <c r="J168" s="6" t="str">
        <f>IF(I168="",D168,I168)</f>
        <v>West</v>
      </c>
      <c r="K168" s="6" t="str" cm="1">
        <f t="array" ref="K168">_xlfn.IFS(AND(J168=$S$6,E168=""),$T$6,AND(J168=$S$17,E168=""),$T$17,AND(J168=$S$29,E168=""),$T$29,AND(J168=$S$41,E168=""),$T$41,TRUE,"")</f>
        <v/>
      </c>
      <c r="L168" s="22" t="str">
        <f>IF(K168="",E168,K168)</f>
        <v>Rohit</v>
      </c>
      <c r="M168" s="33"/>
      <c r="N168" s="33"/>
      <c r="O168" s="33"/>
      <c r="P168" s="33"/>
      <c r="Q168" s="33"/>
      <c r="R168" s="33"/>
      <c r="S168" s="33"/>
      <c r="T168" s="33"/>
      <c r="U168" s="33"/>
      <c r="V168" s="33"/>
    </row>
    <row r="169" spans="1:22">
      <c r="A169" s="26">
        <v>45935</v>
      </c>
      <c r="B169" s="6" t="s">
        <v>346</v>
      </c>
      <c r="C169" s="6" t="s">
        <v>15</v>
      </c>
      <c r="D169" s="6" t="s">
        <v>11</v>
      </c>
      <c r="E169" s="6" t="s">
        <v>20</v>
      </c>
      <c r="F169" s="7">
        <v>20</v>
      </c>
      <c r="G169" s="7">
        <v>30000</v>
      </c>
      <c r="H169" s="7">
        <v>600000</v>
      </c>
      <c r="I169" s="16" t="str">
        <f>IF(D169="",$P$5,"")</f>
        <v/>
      </c>
      <c r="J169" s="6" t="str">
        <f>IF(I169="",D169,I169)</f>
        <v>South</v>
      </c>
      <c r="K169" s="6" t="str" cm="1">
        <f t="array" ref="K169">_xlfn.IFS(AND(J169=$S$6,E169=""),$T$6,AND(J169=$S$17,E169=""),$T$17,AND(J169=$S$29,E169=""),$T$29,AND(J169=$S$41,E169=""),$T$41,TRUE,"")</f>
        <v/>
      </c>
      <c r="L169" s="22" t="str">
        <f>IF(K169="",E169,K169)</f>
        <v>Sonia</v>
      </c>
      <c r="M169" s="33"/>
      <c r="N169" s="33"/>
      <c r="O169" s="33"/>
      <c r="P169" s="33"/>
      <c r="Q169" s="33"/>
      <c r="R169" s="33"/>
      <c r="S169" s="33"/>
      <c r="T169" s="33"/>
      <c r="U169" s="33"/>
      <c r="V169" s="33"/>
    </row>
    <row r="170" spans="1:22">
      <c r="A170" s="26">
        <v>45747</v>
      </c>
      <c r="B170" s="6" t="s">
        <v>348</v>
      </c>
      <c r="C170" s="6" t="s">
        <v>143</v>
      </c>
      <c r="D170" s="6" t="s">
        <v>51</v>
      </c>
      <c r="E170" s="6" t="s">
        <v>72</v>
      </c>
      <c r="F170" s="7">
        <v>20</v>
      </c>
      <c r="G170" s="7">
        <v>1200</v>
      </c>
      <c r="H170" s="7">
        <v>24000</v>
      </c>
      <c r="I170" s="16" t="str">
        <f>IF(D170="",$P$5,"")</f>
        <v/>
      </c>
      <c r="J170" s="6" t="str">
        <f>IF(I170="",D170,I170)</f>
        <v>West</v>
      </c>
      <c r="K170" s="6" t="str" cm="1">
        <f t="array" ref="K170">_xlfn.IFS(AND(J170=$S$6,E170=""),$T$6,AND(J170=$S$17,E170=""),$T$17,AND(J170=$S$29,E170=""),$T$29,AND(J170=$S$41,E170=""),$T$41,TRUE,"")</f>
        <v/>
      </c>
      <c r="L170" s="22" t="str">
        <f>IF(K170="",E170,K170)</f>
        <v>Vivek</v>
      </c>
      <c r="M170" s="33"/>
      <c r="N170" s="33"/>
      <c r="O170" s="33"/>
      <c r="P170" s="33"/>
      <c r="Q170" s="33"/>
      <c r="R170" s="33"/>
      <c r="S170" s="33"/>
      <c r="T170" s="33"/>
      <c r="U170" s="33"/>
      <c r="V170" s="33"/>
    </row>
    <row r="171" spans="1:22">
      <c r="A171" s="26">
        <v>45678</v>
      </c>
      <c r="B171" s="6" t="s">
        <v>350</v>
      </c>
      <c r="C171" s="6" t="s">
        <v>10</v>
      </c>
      <c r="D171" s="6" t="s">
        <v>29</v>
      </c>
      <c r="E171" s="6" t="s">
        <v>30</v>
      </c>
      <c r="F171" s="7">
        <v>12</v>
      </c>
      <c r="G171" s="7">
        <v>15000</v>
      </c>
      <c r="H171" s="7">
        <v>180000</v>
      </c>
      <c r="I171" s="16" t="str">
        <f>IF(D171="",$P$5,"")</f>
        <v/>
      </c>
      <c r="J171" s="6" t="str">
        <f>IF(I171="",D171,I171)</f>
        <v>East</v>
      </c>
      <c r="K171" s="6" t="str" cm="1">
        <f t="array" ref="K171">_xlfn.IFS(AND(J171=$S$6,E171=""),$T$6,AND(J171=$S$17,E171=""),$T$17,AND(J171=$S$29,E171=""),$T$29,AND(J171=$S$41,E171=""),$T$41,TRUE,"")</f>
        <v/>
      </c>
      <c r="L171" s="22" t="str">
        <f>IF(K171="",E171,K171)</f>
        <v>Riya</v>
      </c>
      <c r="M171" s="33"/>
      <c r="N171" s="33"/>
      <c r="O171" s="33"/>
      <c r="P171" s="33"/>
      <c r="Q171" s="33"/>
      <c r="R171" s="33"/>
      <c r="S171" s="33"/>
      <c r="T171" s="33"/>
      <c r="U171" s="33"/>
      <c r="V171" s="33"/>
    </row>
    <row r="172" spans="1:22">
      <c r="A172" s="26">
        <v>45715</v>
      </c>
      <c r="B172" s="6" t="s">
        <v>352</v>
      </c>
      <c r="C172" s="6" t="s">
        <v>10</v>
      </c>
      <c r="D172" s="6" t="s">
        <v>29</v>
      </c>
      <c r="E172" s="6" t="s">
        <v>20</v>
      </c>
      <c r="F172" s="7">
        <v>27</v>
      </c>
      <c r="G172" s="7">
        <v>30000</v>
      </c>
      <c r="H172" s="7">
        <v>810000</v>
      </c>
      <c r="I172" s="16" t="str">
        <f>IF(D172="",$P$5,"")</f>
        <v/>
      </c>
      <c r="J172" s="6" t="str">
        <f>IF(I172="",D172,I172)</f>
        <v>East</v>
      </c>
      <c r="K172" s="6" t="str" cm="1">
        <f t="array" ref="K172">_xlfn.IFS(AND(J172=$S$6,E172=""),$T$6,AND(J172=$S$17,E172=""),$T$17,AND(J172=$S$29,E172=""),$T$29,AND(J172=$S$41,E172=""),$T$41,TRUE,"")</f>
        <v/>
      </c>
      <c r="L172" s="22" t="str">
        <f>IF(K172="",E172,K172)</f>
        <v>Sonia</v>
      </c>
      <c r="M172" s="33"/>
      <c r="N172" s="33"/>
      <c r="O172" s="33"/>
      <c r="P172" s="33"/>
      <c r="Q172" s="33"/>
      <c r="R172" s="33"/>
      <c r="S172" s="33"/>
      <c r="T172" s="33"/>
      <c r="U172" s="33"/>
      <c r="V172" s="33"/>
    </row>
    <row r="173" spans="1:22">
      <c r="A173" s="26">
        <v>45693</v>
      </c>
      <c r="B173" s="6" t="s">
        <v>354</v>
      </c>
      <c r="C173" s="6" t="s">
        <v>23</v>
      </c>
      <c r="D173" s="6" t="s">
        <v>51</v>
      </c>
      <c r="E173" s="6" t="s">
        <v>20</v>
      </c>
      <c r="F173" s="7">
        <v>43</v>
      </c>
      <c r="G173" s="7">
        <v>50000</v>
      </c>
      <c r="H173" s="7">
        <v>2150000</v>
      </c>
      <c r="I173" s="16" t="str">
        <f>IF(D173="",$P$5,"")</f>
        <v/>
      </c>
      <c r="J173" s="6" t="str">
        <f>IF(I173="",D173,I173)</f>
        <v>West</v>
      </c>
      <c r="K173" s="6" t="str" cm="1">
        <f t="array" ref="K173">_xlfn.IFS(AND(J173=$S$6,E173=""),$T$6,AND(J173=$S$17,E173=""),$T$17,AND(J173=$S$29,E173=""),$T$29,AND(J173=$S$41,E173=""),$T$41,TRUE,"")</f>
        <v/>
      </c>
      <c r="L173" s="22" t="str">
        <f>IF(K173="",E173,K173)</f>
        <v>Sonia</v>
      </c>
      <c r="M173" s="33"/>
      <c r="N173" s="33"/>
      <c r="O173" s="33"/>
      <c r="P173" s="33"/>
      <c r="Q173" s="33"/>
      <c r="R173" s="33"/>
      <c r="S173" s="33"/>
      <c r="T173" s="33"/>
      <c r="U173" s="33"/>
      <c r="V173" s="33"/>
    </row>
    <row r="174" spans="1:22">
      <c r="A174" s="26">
        <v>45835</v>
      </c>
      <c r="B174" s="6" t="s">
        <v>355</v>
      </c>
      <c r="C174" s="6" t="s">
        <v>19</v>
      </c>
      <c r="D174" s="6" t="s">
        <v>11</v>
      </c>
      <c r="E174" s="6" t="s">
        <v>72</v>
      </c>
      <c r="F174" s="7">
        <v>5</v>
      </c>
      <c r="G174" s="7">
        <v>30000</v>
      </c>
      <c r="H174" s="7">
        <v>150000</v>
      </c>
      <c r="I174" s="16" t="str">
        <f>IF(D174="",$P$5,"")</f>
        <v/>
      </c>
      <c r="J174" s="6" t="str">
        <f>IF(I174="",D174,I174)</f>
        <v>South</v>
      </c>
      <c r="K174" s="6" t="str" cm="1">
        <f t="array" ref="K174">_xlfn.IFS(AND(J174=$S$6,E174=""),$T$6,AND(J174=$S$17,E174=""),$T$17,AND(J174=$S$29,E174=""),$T$29,AND(J174=$S$41,E174=""),$T$41,TRUE,"")</f>
        <v/>
      </c>
      <c r="L174" s="22" t="str">
        <f>IF(K174="",E174,K174)</f>
        <v>Vivek</v>
      </c>
      <c r="M174" s="33"/>
      <c r="N174" s="33"/>
      <c r="O174" s="33"/>
      <c r="P174" s="33"/>
      <c r="Q174" s="33"/>
      <c r="R174" s="33"/>
      <c r="S174" s="33"/>
      <c r="T174" s="33"/>
      <c r="U174" s="33"/>
      <c r="V174" s="33"/>
    </row>
    <row r="175" spans="1:22">
      <c r="A175" s="26">
        <v>45838</v>
      </c>
      <c r="B175" s="6" t="s">
        <v>357</v>
      </c>
      <c r="C175" s="6" t="s">
        <v>10</v>
      </c>
      <c r="D175" s="6" t="s">
        <v>51</v>
      </c>
      <c r="E175" s="6" t="s">
        <v>33</v>
      </c>
      <c r="F175" s="7">
        <v>18</v>
      </c>
      <c r="G175" s="7">
        <v>50000</v>
      </c>
      <c r="H175" s="7">
        <v>900000</v>
      </c>
      <c r="I175" s="16" t="str">
        <f>IF(D175="",$P$5,"")</f>
        <v/>
      </c>
      <c r="J175" s="6" t="str">
        <f>IF(I175="",D175,I175)</f>
        <v>West</v>
      </c>
      <c r="K175" s="6" t="str" cm="1">
        <f t="array" ref="K175">_xlfn.IFS(AND(J175=$S$6,E175=""),$T$6,AND(J175=$S$17,E175=""),$T$17,AND(J175=$S$29,E175=""),$T$29,AND(J175=$S$41,E175=""),$T$41,TRUE,"")</f>
        <v/>
      </c>
      <c r="L175" s="22" t="str">
        <f>IF(K175="",E175,K175)</f>
        <v>Karan</v>
      </c>
      <c r="M175" s="33"/>
      <c r="N175" s="33"/>
      <c r="O175" s="33"/>
      <c r="P175" s="33"/>
      <c r="Q175" s="33"/>
      <c r="R175" s="33"/>
      <c r="S175" s="33"/>
      <c r="T175" s="33"/>
      <c r="U175" s="33"/>
      <c r="V175" s="33"/>
    </row>
    <row r="176" spans="1:22">
      <c r="A176" s="26">
        <v>45780</v>
      </c>
      <c r="B176" s="6" t="s">
        <v>358</v>
      </c>
      <c r="C176" s="6" t="s">
        <v>15</v>
      </c>
      <c r="D176" s="6" t="s">
        <v>29</v>
      </c>
      <c r="E176" s="6" t="s">
        <v>38</v>
      </c>
      <c r="F176" s="7">
        <v>13</v>
      </c>
      <c r="G176" s="7">
        <v>30000</v>
      </c>
      <c r="H176" s="7">
        <v>390000</v>
      </c>
      <c r="I176" s="16" t="str">
        <f>IF(D176="",$P$5,"")</f>
        <v/>
      </c>
      <c r="J176" s="6" t="str">
        <f>IF(I176="",D176,I176)</f>
        <v>East</v>
      </c>
      <c r="K176" s="6" t="str" cm="1">
        <f t="array" ref="K176">_xlfn.IFS(AND(J176=$S$6,E176=""),$T$6,AND(J176=$S$17,E176=""),$T$17,AND(J176=$S$29,E176=""),$T$29,AND(J176=$S$41,E176=""),$T$41,TRUE,"")</f>
        <v/>
      </c>
      <c r="L176" s="22" t="str">
        <f>IF(K176="",E176,K176)</f>
        <v>Tina</v>
      </c>
      <c r="M176" s="33"/>
      <c r="N176" s="33"/>
      <c r="O176" s="33"/>
      <c r="P176" s="33"/>
      <c r="Q176" s="33"/>
      <c r="R176" s="33"/>
      <c r="S176" s="33"/>
      <c r="T176" s="33"/>
      <c r="U176" s="33"/>
      <c r="V176" s="33"/>
    </row>
    <row r="177" spans="1:22">
      <c r="A177" s="26">
        <v>45825</v>
      </c>
      <c r="B177" s="6" t="s">
        <v>360</v>
      </c>
      <c r="C177" s="6" t="s">
        <v>10</v>
      </c>
      <c r="D177" s="6" t="s">
        <v>24</v>
      </c>
      <c r="E177" s="6" t="s">
        <v>72</v>
      </c>
      <c r="F177" s="7">
        <v>14</v>
      </c>
      <c r="G177" s="7">
        <v>30000</v>
      </c>
      <c r="H177" s="7">
        <v>420000</v>
      </c>
      <c r="I177" s="16" t="str">
        <f>IF(D177="",$P$5,"")</f>
        <v/>
      </c>
      <c r="J177" s="6" t="str">
        <f>IF(I177="",D177,I177)</f>
        <v>North</v>
      </c>
      <c r="K177" s="6" t="str" cm="1">
        <f t="array" ref="K177">_xlfn.IFS(AND(J177=$S$6,E177=""),$T$6,AND(J177=$S$17,E177=""),$T$17,AND(J177=$S$29,E177=""),$T$29,AND(J177=$S$41,E177=""),$T$41,TRUE,"")</f>
        <v/>
      </c>
      <c r="L177" s="22" t="str">
        <f>IF(K177="",E177,K177)</f>
        <v>Vivek</v>
      </c>
      <c r="M177" s="33"/>
      <c r="N177" s="33"/>
      <c r="O177" s="33"/>
      <c r="P177" s="33"/>
      <c r="Q177" s="33"/>
      <c r="R177" s="33"/>
      <c r="S177" s="33"/>
      <c r="T177" s="33"/>
      <c r="U177" s="33"/>
      <c r="V177" s="33"/>
    </row>
    <row r="178" spans="1:22">
      <c r="A178" s="26">
        <v>45767</v>
      </c>
      <c r="B178" s="6" t="s">
        <v>362</v>
      </c>
      <c r="C178" s="6" t="s">
        <v>19</v>
      </c>
      <c r="D178" s="6" t="s">
        <v>24</v>
      </c>
      <c r="E178" s="6" t="s">
        <v>61</v>
      </c>
      <c r="F178" s="7">
        <v>50</v>
      </c>
      <c r="G178" s="7">
        <v>30000</v>
      </c>
      <c r="H178" s="7">
        <v>1500000</v>
      </c>
      <c r="I178" s="16" t="str">
        <f>IF(D178="",$P$5,"")</f>
        <v/>
      </c>
      <c r="J178" s="6" t="str">
        <f>IF(I178="",D178,I178)</f>
        <v>North</v>
      </c>
      <c r="K178" s="6" t="str" cm="1">
        <f t="array" ref="K178">_xlfn.IFS(AND(J178=$S$6,E178=""),$T$6,AND(J178=$S$17,E178=""),$T$17,AND(J178=$S$29,E178=""),$T$29,AND(J178=$S$41,E178=""),$T$41,TRUE,"")</f>
        <v/>
      </c>
      <c r="L178" s="22" t="str">
        <f>IF(K178="",E178,K178)</f>
        <v>Priya</v>
      </c>
      <c r="M178" s="33"/>
      <c r="N178" s="33"/>
      <c r="O178" s="33"/>
      <c r="P178" s="33"/>
      <c r="Q178" s="33"/>
      <c r="R178" s="33"/>
      <c r="S178" s="33"/>
      <c r="T178" s="33"/>
      <c r="U178" s="33"/>
      <c r="V178" s="33"/>
    </row>
    <row r="179" spans="1:22">
      <c r="A179" s="26">
        <v>45724</v>
      </c>
      <c r="B179" s="6" t="s">
        <v>364</v>
      </c>
      <c r="C179" s="6" t="s">
        <v>23</v>
      </c>
      <c r="D179" s="6" t="s">
        <v>29</v>
      </c>
      <c r="E179" s="6" t="s">
        <v>16</v>
      </c>
      <c r="F179" s="7">
        <v>6</v>
      </c>
      <c r="G179" s="7">
        <v>800</v>
      </c>
      <c r="H179" s="7">
        <v>4800</v>
      </c>
      <c r="I179" s="16" t="str">
        <f>IF(D179="",$P$5,"")</f>
        <v/>
      </c>
      <c r="J179" s="6" t="str">
        <f>IF(I179="",D179,I179)</f>
        <v>East</v>
      </c>
      <c r="K179" s="6" t="str" cm="1">
        <f t="array" ref="K179">_xlfn.IFS(AND(J179=$S$6,E179=""),$T$6,AND(J179=$S$17,E179=""),$T$17,AND(J179=$S$29,E179=""),$T$29,AND(J179=$S$41,E179=""),$T$41,TRUE,"")</f>
        <v/>
      </c>
      <c r="L179" s="22" t="str">
        <f>IF(K179="",E179,K179)</f>
        <v>Amit</v>
      </c>
      <c r="M179" s="33"/>
      <c r="N179" s="33"/>
      <c r="O179" s="33"/>
      <c r="P179" s="33"/>
      <c r="Q179" s="33"/>
      <c r="R179" s="33"/>
      <c r="S179" s="33"/>
      <c r="T179" s="33"/>
      <c r="U179" s="33"/>
      <c r="V179" s="33"/>
    </row>
    <row r="180" spans="1:22">
      <c r="A180" s="26">
        <v>45827</v>
      </c>
      <c r="B180" s="6" t="s">
        <v>365</v>
      </c>
      <c r="C180" s="6" t="s">
        <v>23</v>
      </c>
      <c r="D180" s="6" t="s">
        <v>11</v>
      </c>
      <c r="E180" s="6" t="s">
        <v>16</v>
      </c>
      <c r="F180" s="7">
        <v>29</v>
      </c>
      <c r="G180" s="7">
        <v>800</v>
      </c>
      <c r="H180" s="7">
        <v>23200</v>
      </c>
      <c r="I180" s="16" t="str">
        <f>IF(D180="",$P$5,"")</f>
        <v/>
      </c>
      <c r="J180" s="6" t="str">
        <f>IF(I180="",D180,I180)</f>
        <v>South</v>
      </c>
      <c r="K180" s="6" t="str" cm="1">
        <f t="array" ref="K180">_xlfn.IFS(AND(J180=$S$6,E180=""),$T$6,AND(J180=$S$17,E180=""),$T$17,AND(J180=$S$29,E180=""),$T$29,AND(J180=$S$41,E180=""),$T$41,TRUE,"")</f>
        <v/>
      </c>
      <c r="L180" s="22" t="str">
        <f>IF(K180="",E180,K180)</f>
        <v>Amit</v>
      </c>
      <c r="M180" s="33"/>
      <c r="N180" s="33"/>
      <c r="O180" s="33"/>
      <c r="P180" s="33"/>
      <c r="Q180" s="33"/>
      <c r="R180" s="33"/>
      <c r="S180" s="33"/>
      <c r="T180" s="33"/>
      <c r="U180" s="33"/>
      <c r="V180" s="33"/>
    </row>
    <row r="181" spans="1:22">
      <c r="A181" s="26">
        <v>45748</v>
      </c>
      <c r="B181" s="6" t="s">
        <v>367</v>
      </c>
      <c r="C181" s="6" t="s">
        <v>15</v>
      </c>
      <c r="D181" s="6" t="s">
        <v>29</v>
      </c>
      <c r="E181" s="6" t="s">
        <v>38</v>
      </c>
      <c r="F181" s="7">
        <v>12</v>
      </c>
      <c r="G181" s="7">
        <v>25000</v>
      </c>
      <c r="H181" s="7">
        <v>300434</v>
      </c>
      <c r="I181" s="16" t="str">
        <f>IF(D181="",$P$5,"")</f>
        <v/>
      </c>
      <c r="J181" s="6" t="str">
        <f>IF(I181="",D181,I181)</f>
        <v>East</v>
      </c>
      <c r="K181" s="6" t="str" cm="1">
        <f t="array" ref="K181">_xlfn.IFS(AND(J181=$S$6,E181=""),$T$6,AND(J181=$S$17,E181=""),$T$17,AND(J181=$S$29,E181=""),$T$29,AND(J181=$S$41,E181=""),$T$41,TRUE,"")</f>
        <v/>
      </c>
      <c r="L181" s="22" t="str">
        <f>IF(K181="",E181,K181)</f>
        <v>Tina</v>
      </c>
      <c r="M181" s="33"/>
      <c r="N181" s="33"/>
      <c r="O181" s="33"/>
      <c r="P181" s="33"/>
      <c r="Q181" s="33"/>
      <c r="R181" s="33"/>
      <c r="S181" s="33"/>
      <c r="T181" s="33"/>
      <c r="U181" s="33"/>
      <c r="V181" s="33"/>
    </row>
    <row r="182" spans="1:22">
      <c r="A182" s="26">
        <v>45741</v>
      </c>
      <c r="B182" s="6" t="s">
        <v>369</v>
      </c>
      <c r="C182" s="6" t="s">
        <v>19</v>
      </c>
      <c r="D182" s="6" t="s">
        <v>11</v>
      </c>
      <c r="E182" s="6" t="s">
        <v>30</v>
      </c>
      <c r="F182" s="7">
        <v>28</v>
      </c>
      <c r="G182" s="7">
        <v>25000</v>
      </c>
      <c r="H182" s="7">
        <v>700343</v>
      </c>
      <c r="I182" s="16" t="str">
        <f>IF(D182="",$P$5,"")</f>
        <v/>
      </c>
      <c r="J182" s="6" t="str">
        <f>IF(I182="",D182,I182)</f>
        <v>South</v>
      </c>
      <c r="K182" s="6" t="str" cm="1">
        <f t="array" ref="K182">_xlfn.IFS(AND(J182=$S$6,E182=""),$T$6,AND(J182=$S$17,E182=""),$T$17,AND(J182=$S$29,E182=""),$T$29,AND(J182=$S$41,E182=""),$T$41,TRUE,"")</f>
        <v/>
      </c>
      <c r="L182" s="22" t="str">
        <f>IF(K182="",E182,K182)</f>
        <v>Riya</v>
      </c>
      <c r="M182" s="33"/>
      <c r="N182" s="33"/>
      <c r="O182" s="33"/>
      <c r="P182" s="33"/>
      <c r="Q182" s="33"/>
      <c r="R182" s="33"/>
      <c r="S182" s="33"/>
      <c r="T182" s="33"/>
      <c r="U182" s="33"/>
      <c r="V182" s="33"/>
    </row>
    <row r="183" spans="1:22">
      <c r="A183" s="26">
        <v>45783</v>
      </c>
      <c r="B183" s="6" t="s">
        <v>372</v>
      </c>
      <c r="C183" s="6" t="s">
        <v>10</v>
      </c>
      <c r="D183" s="6" t="s">
        <v>51</v>
      </c>
      <c r="E183" s="6" t="s">
        <v>16</v>
      </c>
      <c r="F183" s="7">
        <v>28</v>
      </c>
      <c r="G183" s="7">
        <v>30000</v>
      </c>
      <c r="H183" s="7">
        <v>840000</v>
      </c>
      <c r="I183" s="16" t="str">
        <f>IF(D183="",$P$5,"")</f>
        <v/>
      </c>
      <c r="J183" s="6" t="str">
        <f>IF(I183="",D183,I183)</f>
        <v>West</v>
      </c>
      <c r="K183" s="6" t="str" cm="1">
        <f t="array" ref="K183">_xlfn.IFS(AND(J183=$S$6,E183=""),$T$6,AND(J183=$S$17,E183=""),$T$17,AND(J183=$S$29,E183=""),$T$29,AND(J183=$S$41,E183=""),$T$41,TRUE,"")</f>
        <v/>
      </c>
      <c r="L183" s="22" t="str">
        <f>IF(K183="",E183,K183)</f>
        <v>Amit</v>
      </c>
      <c r="M183" s="33"/>
      <c r="N183" s="33"/>
      <c r="O183" s="33"/>
      <c r="P183" s="33"/>
      <c r="Q183" s="33"/>
      <c r="R183" s="33"/>
      <c r="S183" s="33"/>
      <c r="T183" s="33"/>
      <c r="U183" s="33"/>
      <c r="V183" s="33"/>
    </row>
    <row r="184" spans="1:22">
      <c r="A184" s="26">
        <v>45789</v>
      </c>
      <c r="B184" s="6" t="s">
        <v>373</v>
      </c>
      <c r="C184" s="6" t="s">
        <v>116</v>
      </c>
      <c r="D184" s="6" t="s">
        <v>11</v>
      </c>
      <c r="E184" s="6" t="s">
        <v>20</v>
      </c>
      <c r="F184" s="7">
        <v>15</v>
      </c>
      <c r="G184" s="7">
        <v>800</v>
      </c>
      <c r="H184" s="7">
        <v>12000</v>
      </c>
      <c r="I184" s="16" t="str">
        <f>IF(D184="",$P$5,"")</f>
        <v/>
      </c>
      <c r="J184" s="6" t="str">
        <f>IF(I184="",D184,I184)</f>
        <v>South</v>
      </c>
      <c r="K184" s="6" t="str" cm="1">
        <f t="array" ref="K184">_xlfn.IFS(AND(J184=$S$6,E184=""),$T$6,AND(J184=$S$17,E184=""),$T$17,AND(J184=$S$29,E184=""),$T$29,AND(J184=$S$41,E184=""),$T$41,TRUE,"")</f>
        <v/>
      </c>
      <c r="L184" s="22" t="str">
        <f>IF(K184="",E184,K184)</f>
        <v>Sonia</v>
      </c>
      <c r="M184" s="33"/>
      <c r="N184" s="33"/>
      <c r="O184" s="33"/>
      <c r="P184" s="33"/>
      <c r="Q184" s="33"/>
      <c r="R184" s="33"/>
      <c r="S184" s="33"/>
      <c r="T184" s="33"/>
      <c r="U184" s="33"/>
      <c r="V184" s="33"/>
    </row>
    <row r="185" spans="1:22">
      <c r="A185" s="26">
        <v>45836</v>
      </c>
      <c r="B185" s="6" t="s">
        <v>375</v>
      </c>
      <c r="C185" s="6" t="s">
        <v>23</v>
      </c>
      <c r="D185" s="6" t="s">
        <v>11</v>
      </c>
      <c r="E185" s="6" t="s">
        <v>20</v>
      </c>
      <c r="F185" s="7">
        <v>32</v>
      </c>
      <c r="G185" s="7">
        <v>800</v>
      </c>
      <c r="H185" s="7">
        <v>25600</v>
      </c>
      <c r="I185" s="16" t="str">
        <f>IF(D185="",$P$5,"")</f>
        <v/>
      </c>
      <c r="J185" s="6" t="str">
        <f>IF(I185="",D185,I185)</f>
        <v>South</v>
      </c>
      <c r="K185" s="6" t="str" cm="1">
        <f t="array" ref="K185">_xlfn.IFS(AND(J185=$S$6,E185=""),$T$6,AND(J185=$S$17,E185=""),$T$17,AND(J185=$S$29,E185=""),$T$29,AND(J185=$S$41,E185=""),$T$41,TRUE,"")</f>
        <v/>
      </c>
      <c r="L185" s="22" t="str">
        <f>IF(K185="",E185,K185)</f>
        <v>Sonia</v>
      </c>
      <c r="M185" s="33"/>
      <c r="N185" s="33"/>
      <c r="O185" s="33"/>
      <c r="P185" s="33"/>
      <c r="Q185" s="33"/>
      <c r="R185" s="33"/>
      <c r="S185" s="33"/>
      <c r="T185" s="33"/>
      <c r="U185" s="33"/>
      <c r="V185" s="33"/>
    </row>
    <row r="186" spans="1:22">
      <c r="A186" s="26">
        <v>45775</v>
      </c>
      <c r="B186" s="6" t="s">
        <v>376</v>
      </c>
      <c r="C186" s="6" t="s">
        <v>10</v>
      </c>
      <c r="D186" s="6" t="s">
        <v>51</v>
      </c>
      <c r="E186" s="6" t="s">
        <v>72</v>
      </c>
      <c r="F186" s="7">
        <v>21</v>
      </c>
      <c r="G186" s="7">
        <v>1200</v>
      </c>
      <c r="H186" s="7">
        <v>25200</v>
      </c>
      <c r="I186" s="16" t="str">
        <f>IF(D186="",$P$5,"")</f>
        <v/>
      </c>
      <c r="J186" s="6" t="str">
        <f>IF(I186="",D186,I186)</f>
        <v>West</v>
      </c>
      <c r="K186" s="6" t="str" cm="1">
        <f t="array" ref="K186">_xlfn.IFS(AND(J186=$S$6,E186=""),$T$6,AND(J186=$S$17,E186=""),$T$17,AND(J186=$S$29,E186=""),$T$29,AND(J186=$S$41,E186=""),$T$41,TRUE,"")</f>
        <v/>
      </c>
      <c r="L186" s="22" t="str">
        <f>IF(K186="",E186,K186)</f>
        <v>Vivek</v>
      </c>
      <c r="M186" s="33"/>
      <c r="N186" s="33"/>
      <c r="O186" s="33"/>
      <c r="P186" s="33"/>
      <c r="Q186" s="33"/>
      <c r="R186" s="33"/>
      <c r="S186" s="33"/>
      <c r="T186" s="33"/>
      <c r="U186" s="33"/>
      <c r="V186" s="33"/>
    </row>
    <row r="187" spans="1:22">
      <c r="A187" s="26">
        <v>45754</v>
      </c>
      <c r="B187" s="6" t="s">
        <v>378</v>
      </c>
      <c r="C187" s="6" t="s">
        <v>23</v>
      </c>
      <c r="D187" s="6" t="s">
        <v>51</v>
      </c>
      <c r="E187" s="6" t="s">
        <v>30</v>
      </c>
      <c r="F187" s="7">
        <v>28</v>
      </c>
      <c r="G187" s="7">
        <v>25000</v>
      </c>
      <c r="H187" s="7">
        <v>700000</v>
      </c>
      <c r="I187" s="16" t="str">
        <f>IF(D187="",$P$5,"")</f>
        <v/>
      </c>
      <c r="J187" s="6" t="str">
        <f>IF(I187="",D187,I187)</f>
        <v>West</v>
      </c>
      <c r="K187" s="6" t="str" cm="1">
        <f t="array" ref="K187">_xlfn.IFS(AND(J187=$S$6,E187=""),$T$6,AND(J187=$S$17,E187=""),$T$17,AND(J187=$S$29,E187=""),$T$29,AND(J187=$S$41,E187=""),$T$41,TRUE,"")</f>
        <v/>
      </c>
      <c r="L187" s="22" t="str">
        <f>IF(K187="",E187,K187)</f>
        <v>Riya</v>
      </c>
      <c r="M187" s="33"/>
      <c r="N187" s="33"/>
      <c r="O187" s="33"/>
      <c r="P187" s="33"/>
      <c r="Q187" s="33"/>
      <c r="R187" s="33"/>
      <c r="S187" s="33"/>
      <c r="T187" s="33"/>
      <c r="U187" s="33"/>
      <c r="V187" s="33"/>
    </row>
    <row r="188" spans="1:22">
      <c r="A188" s="26">
        <v>45789</v>
      </c>
      <c r="B188" s="6" t="s">
        <v>379</v>
      </c>
      <c r="C188" s="6" t="s">
        <v>23</v>
      </c>
      <c r="D188" s="6" t="s">
        <v>24</v>
      </c>
      <c r="E188" s="6"/>
      <c r="F188" s="7">
        <v>30</v>
      </c>
      <c r="G188" s="7">
        <v>15000</v>
      </c>
      <c r="H188" s="7">
        <v>450000</v>
      </c>
      <c r="I188" s="16" t="str">
        <f>IF(D188="",$P$5,"")</f>
        <v/>
      </c>
      <c r="J188" s="6" t="str">
        <f>IF(I188="",D188,I188)</f>
        <v>North</v>
      </c>
      <c r="K188" s="6" t="str" cm="1">
        <f t="array" ref="K188">_xlfn.IFS(AND(J188=$S$6,E188=""),$T$6,AND(J188=$S$17,E188=""),$T$17,AND(J188=$S$29,E188=""),$T$29,AND(J188=$S$41,E188=""),$T$41,TRUE,"")</f>
        <v>Tina</v>
      </c>
      <c r="L188" s="22" t="str">
        <f>IF(K188="",E188,K188)</f>
        <v>Tina</v>
      </c>
      <c r="M188" s="33"/>
      <c r="N188" s="33"/>
      <c r="O188" s="33"/>
      <c r="P188" s="33"/>
      <c r="Q188" s="33"/>
      <c r="R188" s="33"/>
      <c r="S188" s="33"/>
      <c r="T188" s="33"/>
      <c r="U188" s="33"/>
      <c r="V188" s="33"/>
    </row>
    <row r="189" spans="1:22">
      <c r="A189" s="26">
        <v>45967</v>
      </c>
      <c r="B189" s="6" t="s">
        <v>381</v>
      </c>
      <c r="C189" s="6" t="s">
        <v>23</v>
      </c>
      <c r="D189" s="6" t="s">
        <v>24</v>
      </c>
      <c r="E189" s="6" t="s">
        <v>38</v>
      </c>
      <c r="F189" s="7">
        <v>27</v>
      </c>
      <c r="G189" s="7">
        <v>30000</v>
      </c>
      <c r="H189" s="7">
        <v>810000</v>
      </c>
      <c r="I189" s="16" t="str">
        <f>IF(D189="",$P$5,"")</f>
        <v/>
      </c>
      <c r="J189" s="6" t="str">
        <f>IF(I189="",D189,I189)</f>
        <v>North</v>
      </c>
      <c r="K189" s="6" t="str" cm="1">
        <f t="array" ref="K189">_xlfn.IFS(AND(J189=$S$6,E189=""),$T$6,AND(J189=$S$17,E189=""),$T$17,AND(J189=$S$29,E189=""),$T$29,AND(J189=$S$41,E189=""),$T$41,TRUE,"")</f>
        <v/>
      </c>
      <c r="L189" s="22" t="str">
        <f>IF(K189="",E189,K189)</f>
        <v>Tina</v>
      </c>
      <c r="M189" s="33"/>
      <c r="N189" s="33"/>
      <c r="O189" s="33"/>
      <c r="P189" s="33"/>
      <c r="Q189" s="33"/>
      <c r="R189" s="33"/>
      <c r="S189" s="33"/>
      <c r="T189" s="33"/>
      <c r="U189" s="33"/>
      <c r="V189" s="33"/>
    </row>
    <row r="190" spans="1:22">
      <c r="A190" s="26">
        <v>45822</v>
      </c>
      <c r="B190" s="6" t="s">
        <v>383</v>
      </c>
      <c r="C190" s="6" t="s">
        <v>23</v>
      </c>
      <c r="D190" s="6" t="s">
        <v>24</v>
      </c>
      <c r="E190" s="6" t="s">
        <v>46</v>
      </c>
      <c r="F190" s="7">
        <v>3</v>
      </c>
      <c r="G190" s="7">
        <v>30000</v>
      </c>
      <c r="H190" s="7">
        <v>90000</v>
      </c>
      <c r="I190" s="16" t="str">
        <f>IF(D190="",$P$5,"")</f>
        <v/>
      </c>
      <c r="J190" s="6" t="str">
        <f>IF(I190="",D190,I190)</f>
        <v>North</v>
      </c>
      <c r="K190" s="6" t="str" cm="1">
        <f t="array" ref="K190">_xlfn.IFS(AND(J190=$S$6,E190=""),$T$6,AND(J190=$S$17,E190=""),$T$17,AND(J190=$S$29,E190=""),$T$29,AND(J190=$S$41,E190=""),$T$41,TRUE,"")</f>
        <v/>
      </c>
      <c r="L190" s="22" t="str">
        <f>IF(K190="",E190,K190)</f>
        <v>Manish</v>
      </c>
      <c r="M190" s="33"/>
      <c r="N190" s="33"/>
      <c r="O190" s="33"/>
      <c r="P190" s="33"/>
      <c r="Q190" s="33"/>
      <c r="R190" s="33"/>
      <c r="S190" s="33"/>
      <c r="T190" s="33"/>
      <c r="U190" s="33"/>
      <c r="V190" s="33"/>
    </row>
    <row r="191" spans="1:22">
      <c r="A191" s="26">
        <v>45873</v>
      </c>
      <c r="B191" s="6" t="s">
        <v>385</v>
      </c>
      <c r="C191" s="6" t="s">
        <v>143</v>
      </c>
      <c r="D191" s="6" t="s">
        <v>51</v>
      </c>
      <c r="E191" s="6" t="s">
        <v>38</v>
      </c>
      <c r="F191" s="7">
        <v>43</v>
      </c>
      <c r="G191" s="7">
        <v>1200</v>
      </c>
      <c r="H191" s="7">
        <v>51600</v>
      </c>
      <c r="I191" s="16" t="str">
        <f>IF(D191="",$P$5,"")</f>
        <v/>
      </c>
      <c r="J191" s="6" t="str">
        <f>IF(I191="",D191,I191)</f>
        <v>West</v>
      </c>
      <c r="K191" s="6" t="str" cm="1">
        <f t="array" ref="K191">_xlfn.IFS(AND(J191=$S$6,E191=""),$T$6,AND(J191=$S$17,E191=""),$T$17,AND(J191=$S$29,E191=""),$T$29,AND(J191=$S$41,E191=""),$T$41,TRUE,"")</f>
        <v/>
      </c>
      <c r="L191" s="22" t="str">
        <f>IF(K191="",E191,K191)</f>
        <v>Tina</v>
      </c>
      <c r="M191" s="33"/>
      <c r="N191" s="33"/>
      <c r="O191" s="33"/>
      <c r="P191" s="33"/>
      <c r="Q191" s="33"/>
      <c r="R191" s="33"/>
      <c r="S191" s="33"/>
      <c r="T191" s="33"/>
      <c r="U191" s="33"/>
      <c r="V191" s="33"/>
    </row>
    <row r="192" spans="1:22">
      <c r="A192" s="26">
        <v>45751</v>
      </c>
      <c r="B192" s="6" t="s">
        <v>387</v>
      </c>
      <c r="C192" s="6" t="s">
        <v>19</v>
      </c>
      <c r="D192" s="6" t="s">
        <v>29</v>
      </c>
      <c r="E192" s="6" t="s">
        <v>33</v>
      </c>
      <c r="F192" s="7">
        <v>27</v>
      </c>
      <c r="G192" s="7">
        <v>1200</v>
      </c>
      <c r="H192" s="7">
        <v>32400</v>
      </c>
      <c r="I192" s="16" t="str">
        <f>IF(D192="",$P$5,"")</f>
        <v/>
      </c>
      <c r="J192" s="6" t="str">
        <f>IF(I192="",D192,I192)</f>
        <v>East</v>
      </c>
      <c r="K192" s="6" t="str" cm="1">
        <f t="array" ref="K192">_xlfn.IFS(AND(J192=$S$6,E192=""),$T$6,AND(J192=$S$17,E192=""),$T$17,AND(J192=$S$29,E192=""),$T$29,AND(J192=$S$41,E192=""),$T$41,TRUE,"")</f>
        <v/>
      </c>
      <c r="L192" s="22" t="str">
        <f>IF(K192="",E192,K192)</f>
        <v>Karan</v>
      </c>
      <c r="M192" s="33"/>
      <c r="N192" s="33"/>
      <c r="O192" s="33"/>
      <c r="P192" s="33"/>
      <c r="Q192" s="33"/>
      <c r="R192" s="33"/>
      <c r="S192" s="33"/>
      <c r="T192" s="33"/>
      <c r="U192" s="33"/>
      <c r="V192" s="33"/>
    </row>
    <row r="193" spans="1:22">
      <c r="A193" s="26">
        <v>45774</v>
      </c>
      <c r="B193" s="6" t="s">
        <v>389</v>
      </c>
      <c r="C193" s="6" t="s">
        <v>15</v>
      </c>
      <c r="D193" s="6" t="s">
        <v>29</v>
      </c>
      <c r="E193" s="6" t="s">
        <v>16</v>
      </c>
      <c r="F193" s="7">
        <v>49</v>
      </c>
      <c r="G193" s="7">
        <v>50000</v>
      </c>
      <c r="H193" s="7">
        <v>2450000</v>
      </c>
      <c r="I193" s="16" t="str">
        <f>IF(D193="",$P$5,"")</f>
        <v/>
      </c>
      <c r="J193" s="6" t="str">
        <f>IF(I193="",D193,I193)</f>
        <v>East</v>
      </c>
      <c r="K193" s="6" t="str" cm="1">
        <f t="array" ref="K193">_xlfn.IFS(AND(J193=$S$6,E193=""),$T$6,AND(J193=$S$17,E193=""),$T$17,AND(J193=$S$29,E193=""),$T$29,AND(J193=$S$41,E193=""),$T$41,TRUE,"")</f>
        <v/>
      </c>
      <c r="L193" s="22" t="str">
        <f>IF(K193="",E193,K193)</f>
        <v>Amit</v>
      </c>
      <c r="M193" s="33"/>
      <c r="N193" s="33"/>
      <c r="O193" s="33"/>
      <c r="P193" s="33"/>
      <c r="Q193" s="33"/>
      <c r="R193" s="33"/>
      <c r="S193" s="33"/>
      <c r="T193" s="33"/>
      <c r="U193" s="33"/>
      <c r="V193" s="33"/>
    </row>
    <row r="194" spans="1:22">
      <c r="A194" s="26">
        <v>45671</v>
      </c>
      <c r="B194" s="6" t="s">
        <v>391</v>
      </c>
      <c r="C194" s="6" t="s">
        <v>15</v>
      </c>
      <c r="D194" s="6" t="s">
        <v>24</v>
      </c>
      <c r="E194" s="6" t="s">
        <v>38</v>
      </c>
      <c r="F194" s="7">
        <v>25</v>
      </c>
      <c r="G194" s="7">
        <v>25000</v>
      </c>
      <c r="H194" s="7">
        <v>625000</v>
      </c>
      <c r="I194" s="16" t="str">
        <f>IF(D194="",$P$5,"")</f>
        <v/>
      </c>
      <c r="J194" s="6" t="str">
        <f>IF(I194="",D194,I194)</f>
        <v>North</v>
      </c>
      <c r="K194" s="6" t="str" cm="1">
        <f t="array" ref="K194">_xlfn.IFS(AND(J194=$S$6,E194=""),$T$6,AND(J194=$S$17,E194=""),$T$17,AND(J194=$S$29,E194=""),$T$29,AND(J194=$S$41,E194=""),$T$41,TRUE,"")</f>
        <v/>
      </c>
      <c r="L194" s="22" t="str">
        <f>IF(K194="",E194,K194)</f>
        <v>Tina</v>
      </c>
      <c r="M194" s="33"/>
      <c r="N194" s="33"/>
      <c r="O194" s="33"/>
      <c r="P194" s="33"/>
      <c r="Q194" s="33"/>
      <c r="R194" s="33"/>
      <c r="S194" s="33"/>
      <c r="T194" s="33"/>
      <c r="U194" s="33"/>
      <c r="V194" s="33"/>
    </row>
    <row r="195" spans="1:22">
      <c r="A195" s="26">
        <v>45791</v>
      </c>
      <c r="B195" s="6" t="s">
        <v>393</v>
      </c>
      <c r="C195" s="6" t="s">
        <v>15</v>
      </c>
      <c r="D195" s="6" t="s">
        <v>29</v>
      </c>
      <c r="E195" s="6" t="s">
        <v>72</v>
      </c>
      <c r="F195" s="7">
        <v>35</v>
      </c>
      <c r="G195" s="7">
        <v>15000</v>
      </c>
      <c r="H195" s="7">
        <v>525000</v>
      </c>
      <c r="I195" s="16" t="str">
        <f>IF(D195="",$P$5,"")</f>
        <v/>
      </c>
      <c r="J195" s="6" t="str">
        <f>IF(I195="",D195,I195)</f>
        <v>East</v>
      </c>
      <c r="K195" s="6" t="str" cm="1">
        <f t="array" ref="K195">_xlfn.IFS(AND(J195=$S$6,E195=""),$T$6,AND(J195=$S$17,E195=""),$T$17,AND(J195=$S$29,E195=""),$T$29,AND(J195=$S$41,E195=""),$T$41,TRUE,"")</f>
        <v/>
      </c>
      <c r="L195" s="22" t="str">
        <f>IF(K195="",E195,K195)</f>
        <v>Vivek</v>
      </c>
      <c r="M195" s="33"/>
      <c r="N195" s="33"/>
      <c r="O195" s="33"/>
      <c r="P195" s="33"/>
      <c r="Q195" s="33"/>
      <c r="R195" s="33"/>
      <c r="S195" s="33"/>
      <c r="T195" s="33"/>
      <c r="U195" s="33"/>
      <c r="V195" s="33"/>
    </row>
    <row r="196" spans="1:22">
      <c r="A196" s="26">
        <v>45962</v>
      </c>
      <c r="B196" s="6" t="s">
        <v>395</v>
      </c>
      <c r="C196" s="6" t="s">
        <v>23</v>
      </c>
      <c r="D196" s="6" t="s">
        <v>29</v>
      </c>
      <c r="E196" s="6" t="s">
        <v>38</v>
      </c>
      <c r="F196" s="7">
        <v>24</v>
      </c>
      <c r="G196" s="7">
        <v>800</v>
      </c>
      <c r="H196" s="7">
        <v>19200</v>
      </c>
      <c r="I196" s="16" t="str">
        <f>IF(D196="",$P$5,"")</f>
        <v/>
      </c>
      <c r="J196" s="6" t="str">
        <f>IF(I196="",D196,I196)</f>
        <v>East</v>
      </c>
      <c r="K196" s="6" t="str" cm="1">
        <f t="array" ref="K196">_xlfn.IFS(AND(J196=$S$6,E196=""),$T$6,AND(J196=$S$17,E196=""),$T$17,AND(J196=$S$29,E196=""),$T$29,AND(J196=$S$41,E196=""),$T$41,TRUE,"")</f>
        <v/>
      </c>
      <c r="L196" s="22" t="str">
        <f>IF(K196="",E196,K196)</f>
        <v>Tina</v>
      </c>
      <c r="M196" s="33"/>
      <c r="N196" s="33"/>
      <c r="O196" s="33"/>
      <c r="P196" s="33"/>
      <c r="Q196" s="33"/>
      <c r="R196" s="33"/>
      <c r="S196" s="33"/>
      <c r="T196" s="33"/>
      <c r="U196" s="33"/>
      <c r="V196" s="33"/>
    </row>
    <row r="197" spans="1:22">
      <c r="A197" s="26">
        <v>45775</v>
      </c>
      <c r="B197" s="6" t="s">
        <v>396</v>
      </c>
      <c r="C197" s="6" t="s">
        <v>19</v>
      </c>
      <c r="D197" s="6" t="s">
        <v>29</v>
      </c>
      <c r="E197" s="6" t="s">
        <v>12</v>
      </c>
      <c r="F197" s="7">
        <v>16</v>
      </c>
      <c r="G197" s="7">
        <v>1200</v>
      </c>
      <c r="H197" s="7">
        <v>19200</v>
      </c>
      <c r="I197" s="16" t="str">
        <f>IF(D197="",$P$5,"")</f>
        <v/>
      </c>
      <c r="J197" s="6" t="str">
        <f>IF(I197="",D197,I197)</f>
        <v>East</v>
      </c>
      <c r="K197" s="6" t="str" cm="1">
        <f t="array" ref="K197">_xlfn.IFS(AND(J197=$S$6,E197=""),$T$6,AND(J197=$S$17,E197=""),$T$17,AND(J197=$S$29,E197=""),$T$29,AND(J197=$S$41,E197=""),$T$41,TRUE,"")</f>
        <v/>
      </c>
      <c r="L197" s="22" t="str">
        <f>IF(K197="",E197,K197)</f>
        <v>Rohit</v>
      </c>
      <c r="M197" s="33"/>
      <c r="N197" s="33"/>
      <c r="O197" s="33"/>
      <c r="P197" s="33"/>
      <c r="Q197" s="33"/>
      <c r="R197" s="33"/>
      <c r="S197" s="33"/>
      <c r="T197" s="33"/>
      <c r="U197" s="33"/>
      <c r="V197" s="33"/>
    </row>
    <row r="198" spans="1:22">
      <c r="A198" s="26">
        <v>45703</v>
      </c>
      <c r="B198" s="6" t="s">
        <v>398</v>
      </c>
      <c r="C198" s="6" t="s">
        <v>15</v>
      </c>
      <c r="D198" s="6" t="s">
        <v>29</v>
      </c>
      <c r="E198" s="6" t="s">
        <v>46</v>
      </c>
      <c r="F198" s="7">
        <v>19</v>
      </c>
      <c r="G198" s="7">
        <v>30000</v>
      </c>
      <c r="H198" s="7">
        <v>570000</v>
      </c>
      <c r="I198" s="16" t="str">
        <f>IF(D198="",$P$5,"")</f>
        <v/>
      </c>
      <c r="J198" s="6" t="str">
        <f>IF(I198="",D198,I198)</f>
        <v>East</v>
      </c>
      <c r="K198" s="6" t="str" cm="1">
        <f t="array" ref="K198">_xlfn.IFS(AND(J198=$S$6,E198=""),$T$6,AND(J198=$S$17,E198=""),$T$17,AND(J198=$S$29,E198=""),$T$29,AND(J198=$S$41,E198=""),$T$41,TRUE,"")</f>
        <v/>
      </c>
      <c r="L198" s="22" t="str">
        <f>IF(K198="",E198,K198)</f>
        <v>Manish</v>
      </c>
      <c r="M198" s="33"/>
      <c r="N198" s="33"/>
      <c r="O198" s="33"/>
      <c r="P198" s="33"/>
      <c r="Q198" s="33"/>
      <c r="R198" s="33"/>
      <c r="S198" s="33"/>
      <c r="T198" s="33"/>
      <c r="U198" s="33"/>
      <c r="V198" s="33"/>
    </row>
    <row r="199" spans="1:22">
      <c r="A199" s="26">
        <v>45836</v>
      </c>
      <c r="B199" s="6" t="s">
        <v>399</v>
      </c>
      <c r="C199" s="6" t="s">
        <v>23</v>
      </c>
      <c r="D199" s="6" t="s">
        <v>29</v>
      </c>
      <c r="E199" s="6" t="s">
        <v>72</v>
      </c>
      <c r="F199" s="7">
        <v>12</v>
      </c>
      <c r="G199" s="7">
        <v>800</v>
      </c>
      <c r="H199" s="7">
        <v>9600</v>
      </c>
      <c r="I199" s="16" t="str">
        <f>IF(D199="",$P$5,"")</f>
        <v/>
      </c>
      <c r="J199" s="6" t="str">
        <f>IF(I199="",D199,I199)</f>
        <v>East</v>
      </c>
      <c r="K199" s="6" t="str" cm="1">
        <f t="array" ref="K199">_xlfn.IFS(AND(J199=$S$6,E199=""),$T$6,AND(J199=$S$17,E199=""),$T$17,AND(J199=$S$29,E199=""),$T$29,AND(J199=$S$41,E199=""),$T$41,TRUE,"")</f>
        <v/>
      </c>
      <c r="L199" s="22" t="str">
        <f>IF(K199="",E199,K199)</f>
        <v>Vivek</v>
      </c>
      <c r="M199" s="33"/>
      <c r="N199" s="33"/>
      <c r="O199" s="33"/>
      <c r="P199" s="33"/>
      <c r="Q199" s="33"/>
      <c r="R199" s="33"/>
      <c r="S199" s="33"/>
      <c r="T199" s="33"/>
      <c r="U199" s="33"/>
      <c r="V199" s="33"/>
    </row>
    <row r="200" spans="1:22">
      <c r="A200" s="26">
        <v>45781</v>
      </c>
      <c r="B200" s="6" t="s">
        <v>400</v>
      </c>
      <c r="C200" s="6" t="s">
        <v>23</v>
      </c>
      <c r="D200" s="6" t="s">
        <v>51</v>
      </c>
      <c r="E200" s="6" t="s">
        <v>25</v>
      </c>
      <c r="F200" s="7">
        <v>23</v>
      </c>
      <c r="G200" s="7">
        <v>1200</v>
      </c>
      <c r="H200" s="7">
        <v>27600</v>
      </c>
      <c r="I200" s="16" t="str">
        <f>IF(D200="",$P$5,"")</f>
        <v/>
      </c>
      <c r="J200" s="6" t="str">
        <f>IF(I200="",D200,I200)</f>
        <v>West</v>
      </c>
      <c r="K200" s="6" t="str" cm="1">
        <f t="array" ref="K200">_xlfn.IFS(AND(J200=$S$6,E200=""),$T$6,AND(J200=$S$17,E200=""),$T$17,AND(J200=$S$29,E200=""),$T$29,AND(J200=$S$41,E200=""),$T$41,TRUE,"")</f>
        <v/>
      </c>
      <c r="L200" s="22" t="str">
        <f>IF(K200="",E200,K200)</f>
        <v>Neha</v>
      </c>
      <c r="M200" s="33"/>
      <c r="N200" s="33"/>
      <c r="O200" s="33"/>
      <c r="P200" s="33"/>
      <c r="Q200" s="33"/>
      <c r="R200" s="33"/>
      <c r="S200" s="33"/>
      <c r="T200" s="33"/>
      <c r="U200" s="33"/>
      <c r="V200" s="33"/>
    </row>
    <row r="201" spans="1:22">
      <c r="A201" s="26">
        <v>45766</v>
      </c>
      <c r="B201" s="6" t="s">
        <v>402</v>
      </c>
      <c r="C201" s="6" t="s">
        <v>10</v>
      </c>
      <c r="D201" s="6" t="s">
        <v>24</v>
      </c>
      <c r="E201" s="6" t="s">
        <v>12</v>
      </c>
      <c r="F201" s="7">
        <v>5</v>
      </c>
      <c r="G201" s="7">
        <v>1200</v>
      </c>
      <c r="H201" s="7">
        <v>6000</v>
      </c>
      <c r="I201" s="16" t="str">
        <f>IF(D201="",$P$5,"")</f>
        <v/>
      </c>
      <c r="J201" s="6" t="str">
        <f>IF(I201="",D201,I201)</f>
        <v>North</v>
      </c>
      <c r="K201" s="6" t="str" cm="1">
        <f t="array" ref="K201">_xlfn.IFS(AND(J201=$S$6,E201=""),$T$6,AND(J201=$S$17,E201=""),$T$17,AND(J201=$S$29,E201=""),$T$29,AND(J201=$S$41,E201=""),$T$41,TRUE,"")</f>
        <v/>
      </c>
      <c r="L201" s="22" t="str">
        <f>IF(K201="",E201,K201)</f>
        <v>Rohit</v>
      </c>
      <c r="M201" s="33"/>
      <c r="N201" s="33"/>
      <c r="O201" s="33"/>
      <c r="P201" s="33"/>
      <c r="Q201" s="33"/>
      <c r="R201" s="33"/>
      <c r="S201" s="33"/>
      <c r="T201" s="33"/>
      <c r="U201" s="33"/>
      <c r="V201" s="33"/>
    </row>
    <row r="202" spans="1:22">
      <c r="A202" s="26">
        <v>45819</v>
      </c>
      <c r="B202" s="6" t="s">
        <v>403</v>
      </c>
      <c r="C202" s="6" t="s">
        <v>15</v>
      </c>
      <c r="D202" s="6" t="s">
        <v>11</v>
      </c>
      <c r="E202" s="6" t="s">
        <v>16</v>
      </c>
      <c r="F202" s="7">
        <v>44</v>
      </c>
      <c r="G202" s="7">
        <v>1200</v>
      </c>
      <c r="H202" s="7">
        <v>52800</v>
      </c>
      <c r="I202" s="16" t="str">
        <f>IF(D202="",$P$5,"")</f>
        <v/>
      </c>
      <c r="J202" s="6" t="str">
        <f>IF(I202="",D202,I202)</f>
        <v>South</v>
      </c>
      <c r="K202" s="6" t="str" cm="1">
        <f t="array" ref="K202">_xlfn.IFS(AND(J202=$S$6,E202=""),$T$6,AND(J202=$S$17,E202=""),$T$17,AND(J202=$S$29,E202=""),$T$29,AND(J202=$S$41,E202=""),$T$41,TRUE,"")</f>
        <v/>
      </c>
      <c r="L202" s="22" t="str">
        <f>IF(K202="",E202,K202)</f>
        <v>Amit</v>
      </c>
      <c r="M202" s="33"/>
      <c r="N202" s="33"/>
      <c r="O202" s="33"/>
      <c r="P202" s="33"/>
      <c r="Q202" s="33"/>
      <c r="R202" s="33"/>
      <c r="S202" s="33"/>
      <c r="T202" s="33"/>
      <c r="U202" s="33"/>
      <c r="V202" s="33"/>
    </row>
    <row r="203" spans="1:22">
      <c r="A203" s="27">
        <v>45772</v>
      </c>
      <c r="B203" s="9" t="s">
        <v>405</v>
      </c>
      <c r="C203" s="9" t="s">
        <v>19</v>
      </c>
      <c r="D203" s="9" t="s">
        <v>24</v>
      </c>
      <c r="E203" s="9" t="s">
        <v>20</v>
      </c>
      <c r="F203" s="10">
        <v>46</v>
      </c>
      <c r="G203" s="10">
        <v>25000</v>
      </c>
      <c r="H203" s="10">
        <v>1150000</v>
      </c>
      <c r="I203" s="19" t="str">
        <f>IF(D203="",$P$5,"")</f>
        <v/>
      </c>
      <c r="J203" s="9" t="str">
        <f>IF(I203="",D203,I203)</f>
        <v>North</v>
      </c>
      <c r="K203" s="9" t="str" cm="1">
        <f t="array" ref="K203">_xlfn.IFS(AND(J203=$S$6,E203=""),$T$6,AND(J203=$S$17,E203=""),$T$17,AND(J203=$S$29,E203=""),$T$29,AND(J203=$S$41,E203=""),$T$41,TRUE,"")</f>
        <v/>
      </c>
      <c r="L203" s="23" t="str">
        <f>IF(K203="",E203,K203)</f>
        <v>Sonia</v>
      </c>
      <c r="M203" s="33"/>
      <c r="N203" s="33"/>
      <c r="O203" s="33"/>
      <c r="P203" s="33"/>
      <c r="Q203" s="33"/>
      <c r="R203" s="33"/>
      <c r="S203" s="33"/>
      <c r="T203" s="33"/>
      <c r="U203" s="33"/>
      <c r="V203" s="33"/>
    </row>
    <row r="204" spans="1:22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</row>
  </sheetData>
  <mergeCells count="4">
    <mergeCell ref="A1:H2"/>
    <mergeCell ref="I1:L2"/>
    <mergeCell ref="P2:Q3"/>
    <mergeCell ref="S2:U3"/>
  </mergeCells>
  <conditionalFormatting sqref="K4:K203">
    <cfRule type="expression" dxfId="5" priority="7">
      <formula>ISBLANK(A4)</formula>
    </cfRule>
  </conditionalFormatting>
  <conditionalFormatting sqref="A4:H203">
    <cfRule type="expression" dxfId="4" priority="3">
      <formula>ISBLANK(A4)</formula>
    </cfRule>
  </conditionalFormatting>
  <conditionalFormatting sqref="I4:I203">
    <cfRule type="expression" dxfId="3" priority="2">
      <formula>I4&lt;&gt;""</formula>
    </cfRule>
  </conditionalFormatting>
  <conditionalFormatting sqref="K4:K203">
    <cfRule type="expression" dxfId="2" priority="1">
      <formula>K4&lt;&gt;""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B00AF-E23F-4948-9E30-EF93506C0560}">
  <dimension ref="A1:O203"/>
  <sheetViews>
    <sheetView workbookViewId="0">
      <selection activeCell="J2" sqref="J2:K2"/>
    </sheetView>
  </sheetViews>
  <sheetFormatPr defaultRowHeight="15"/>
  <cols>
    <col min="1" max="1" width="12.28515625" customWidth="1"/>
    <col min="2" max="2" width="9.42578125" customWidth="1"/>
    <col min="3" max="3" width="13.7109375" customWidth="1"/>
    <col min="4" max="4" width="17.140625" customWidth="1"/>
    <col min="5" max="5" width="18.85546875" customWidth="1"/>
    <col min="6" max="6" width="10.85546875" customWidth="1"/>
    <col min="7" max="7" width="12" customWidth="1"/>
    <col min="8" max="8" width="11.140625" customWidth="1"/>
    <col min="10" max="10" width="12.140625" customWidth="1"/>
    <col min="11" max="11" width="12.5703125" customWidth="1"/>
    <col min="13" max="13" width="12.7109375" customWidth="1"/>
    <col min="14" max="14" width="10.85546875" bestFit="1" customWidth="1"/>
  </cols>
  <sheetData>
    <row r="1" spans="1:15" ht="21">
      <c r="A1" s="71" t="s">
        <v>427</v>
      </c>
      <c r="B1" s="71"/>
      <c r="C1" s="71"/>
      <c r="D1" s="71"/>
      <c r="E1" s="71"/>
      <c r="F1" s="71"/>
      <c r="G1" s="71"/>
      <c r="H1" s="71"/>
      <c r="I1" s="33"/>
      <c r="J1" s="70" t="s">
        <v>428</v>
      </c>
      <c r="K1" s="70"/>
      <c r="L1" s="33"/>
      <c r="M1" s="72" t="s">
        <v>429</v>
      </c>
      <c r="N1" s="73"/>
      <c r="O1" s="33"/>
    </row>
    <row r="2" spans="1:15">
      <c r="A2" s="36" t="s">
        <v>0</v>
      </c>
      <c r="B2" s="36" t="s">
        <v>1</v>
      </c>
      <c r="C2" s="36" t="s">
        <v>2</v>
      </c>
      <c r="D2" s="36" t="s">
        <v>417</v>
      </c>
      <c r="E2" s="36" t="s">
        <v>419</v>
      </c>
      <c r="F2" s="36" t="s">
        <v>5</v>
      </c>
      <c r="G2" s="36" t="s">
        <v>6</v>
      </c>
      <c r="H2" s="36" t="s">
        <v>7</v>
      </c>
      <c r="I2" s="33"/>
      <c r="J2" s="37" t="s">
        <v>430</v>
      </c>
      <c r="K2" s="37" t="s">
        <v>431</v>
      </c>
      <c r="L2" s="33"/>
      <c r="M2" s="28" t="str" cm="1">
        <f t="array" ref="M2:M9">_xlfn.UNIQUE(C3:C202)</f>
        <v>Laptop</v>
      </c>
      <c r="N2" s="28" t="s">
        <v>10</v>
      </c>
      <c r="O2" s="33"/>
    </row>
    <row r="3" spans="1:15">
      <c r="A3" s="3">
        <v>45775</v>
      </c>
      <c r="B3" t="s">
        <v>9</v>
      </c>
      <c r="C3" t="s">
        <v>10</v>
      </c>
      <c r="D3" t="s">
        <v>11</v>
      </c>
      <c r="E3" t="s">
        <v>12</v>
      </c>
      <c r="F3" s="4">
        <v>27</v>
      </c>
      <c r="G3" s="4">
        <v>1200</v>
      </c>
      <c r="H3" s="4">
        <v>32400</v>
      </c>
      <c r="I3" s="33"/>
      <c r="J3" s="29" t="s">
        <v>10</v>
      </c>
      <c r="K3" s="29" t="str" cm="1">
        <f t="array" ref="K3">_xlfn.XLOOKUP(C3,_xlfn.ANCHORARRAY($M$2),$N$2:$N$9)</f>
        <v>Laptop</v>
      </c>
      <c r="L3" s="33"/>
      <c r="M3" s="28" t="str">
        <v>Accessories</v>
      </c>
      <c r="N3" s="28" t="s">
        <v>15</v>
      </c>
      <c r="O3" s="33"/>
    </row>
    <row r="4" spans="1:15">
      <c r="A4" s="3">
        <v>45755</v>
      </c>
      <c r="B4" t="s">
        <v>14</v>
      </c>
      <c r="C4" t="s">
        <v>15</v>
      </c>
      <c r="D4" t="s">
        <v>11</v>
      </c>
      <c r="E4" t="s">
        <v>16</v>
      </c>
      <c r="F4" s="4">
        <v>30</v>
      </c>
      <c r="G4" s="4">
        <v>25000</v>
      </c>
      <c r="H4" s="4">
        <v>750000</v>
      </c>
      <c r="I4" s="33"/>
      <c r="J4" s="28" t="s">
        <v>15</v>
      </c>
      <c r="K4" s="28" t="str" cm="1">
        <f t="array" ref="K4">_xlfn.XLOOKUP(C4,_xlfn.ANCHORARRAY($M$2),$N$2:$N$9)</f>
        <v>Accessories</v>
      </c>
      <c r="L4" s="33"/>
      <c r="M4" s="28" t="str">
        <v>Tabllet</v>
      </c>
      <c r="N4" s="28" t="s">
        <v>19</v>
      </c>
      <c r="O4" s="33"/>
    </row>
    <row r="5" spans="1:15">
      <c r="A5" s="3">
        <v>45718</v>
      </c>
      <c r="B5" t="s">
        <v>18</v>
      </c>
      <c r="C5" t="s">
        <v>306</v>
      </c>
      <c r="D5" t="s">
        <v>11</v>
      </c>
      <c r="E5" t="s">
        <v>20</v>
      </c>
      <c r="F5" s="4">
        <v>23</v>
      </c>
      <c r="G5" s="4">
        <v>25000</v>
      </c>
      <c r="H5" s="4">
        <v>575000</v>
      </c>
      <c r="I5" s="33"/>
      <c r="J5" s="28" t="s">
        <v>306</v>
      </c>
      <c r="K5" s="28" t="str" cm="1">
        <f t="array" ref="K5">_xlfn.XLOOKUP(C5,_xlfn.ANCHORARRAY($M$2),$N$2:$N$9)</f>
        <v>Tablet</v>
      </c>
      <c r="L5" s="33"/>
      <c r="M5" s="28" t="str">
        <v>Mobile</v>
      </c>
      <c r="N5" s="28" t="s">
        <v>23</v>
      </c>
      <c r="O5" s="33"/>
    </row>
    <row r="6" spans="1:15">
      <c r="A6" s="3">
        <v>45693</v>
      </c>
      <c r="B6" t="s">
        <v>22</v>
      </c>
      <c r="C6" t="s">
        <v>23</v>
      </c>
      <c r="D6" t="s">
        <v>24</v>
      </c>
      <c r="E6" t="s">
        <v>25</v>
      </c>
      <c r="F6" s="4">
        <v>6</v>
      </c>
      <c r="G6" s="4">
        <v>800</v>
      </c>
      <c r="H6" s="4">
        <v>4800</v>
      </c>
      <c r="I6" s="33"/>
      <c r="J6" s="28" t="s">
        <v>23</v>
      </c>
      <c r="K6" s="28" t="str" cm="1">
        <f t="array" ref="K6">_xlfn.XLOOKUP(C6,_xlfn.ANCHORARRAY($M$2),$N$2:$N$9)</f>
        <v>Mobile</v>
      </c>
      <c r="L6" s="33"/>
      <c r="M6" s="28" t="str">
        <v>Tablet</v>
      </c>
      <c r="N6" s="28" t="s">
        <v>19</v>
      </c>
      <c r="O6" s="33"/>
    </row>
    <row r="7" spans="1:15">
      <c r="A7" s="3">
        <v>45706</v>
      </c>
      <c r="B7" t="s">
        <v>27</v>
      </c>
      <c r="C7" t="s">
        <v>23</v>
      </c>
      <c r="D7" t="s">
        <v>29</v>
      </c>
      <c r="E7" t="s">
        <v>30</v>
      </c>
      <c r="F7" s="4">
        <v>45</v>
      </c>
      <c r="G7" s="4">
        <v>30000</v>
      </c>
      <c r="H7" s="4">
        <v>1350000</v>
      </c>
      <c r="I7" s="33"/>
      <c r="J7" s="28" t="s">
        <v>23</v>
      </c>
      <c r="K7" s="28" t="str" cm="1">
        <f t="array" ref="K7">_xlfn.XLOOKUP(C7,_xlfn.ANCHORARRAY($M$2),$N$2:$N$9)</f>
        <v>Mobile</v>
      </c>
      <c r="L7" s="33"/>
      <c r="M7" s="28" t="str">
        <v>Moblie</v>
      </c>
      <c r="N7" s="28" t="s">
        <v>23</v>
      </c>
      <c r="O7" s="33"/>
    </row>
    <row r="8" spans="1:15">
      <c r="A8" s="3">
        <v>45708</v>
      </c>
      <c r="B8" t="s">
        <v>32</v>
      </c>
      <c r="C8" t="s">
        <v>15</v>
      </c>
      <c r="D8" t="s">
        <v>24</v>
      </c>
      <c r="E8" t="s">
        <v>33</v>
      </c>
      <c r="F8" s="4">
        <v>23</v>
      </c>
      <c r="G8" s="4">
        <v>1200</v>
      </c>
      <c r="H8" s="4">
        <v>27600</v>
      </c>
      <c r="I8" s="33"/>
      <c r="J8" s="28" t="s">
        <v>15</v>
      </c>
      <c r="K8" s="28" t="str" cm="1">
        <f t="array" ref="K8">_xlfn.XLOOKUP(C8,_xlfn.ANCHORARRAY($M$2),$N$2:$N$9)</f>
        <v>Accessories</v>
      </c>
      <c r="L8" s="33"/>
      <c r="M8" s="28" t="str">
        <v>Lapotp</v>
      </c>
      <c r="N8" s="28" t="s">
        <v>10</v>
      </c>
      <c r="O8" s="33"/>
    </row>
    <row r="9" spans="1:15">
      <c r="A9" s="3">
        <v>45814</v>
      </c>
      <c r="B9" t="s">
        <v>35</v>
      </c>
      <c r="C9" t="s">
        <v>19</v>
      </c>
      <c r="D9" t="s">
        <v>11</v>
      </c>
      <c r="E9" t="s">
        <v>20</v>
      </c>
      <c r="F9" s="4">
        <v>16</v>
      </c>
      <c r="G9" s="4">
        <v>800</v>
      </c>
      <c r="H9" s="4">
        <v>12800</v>
      </c>
      <c r="I9" s="33"/>
      <c r="J9" s="28" t="s">
        <v>19</v>
      </c>
      <c r="K9" s="28" t="str" cm="1">
        <f t="array" ref="K9">_xlfn.XLOOKUP(C9,_xlfn.ANCHORARRAY($M$2),$N$2:$N$9)</f>
        <v>Tablet</v>
      </c>
      <c r="L9" s="33"/>
      <c r="M9" s="28" t="str">
        <v>Accesories</v>
      </c>
      <c r="N9" s="28" t="s">
        <v>15</v>
      </c>
      <c r="O9" s="33"/>
    </row>
    <row r="10" spans="1:15">
      <c r="A10" s="3">
        <v>45751</v>
      </c>
      <c r="B10" t="s">
        <v>37</v>
      </c>
      <c r="C10" t="s">
        <v>23</v>
      </c>
      <c r="D10" t="s">
        <v>24</v>
      </c>
      <c r="E10" t="s">
        <v>38</v>
      </c>
      <c r="F10" s="4">
        <v>50</v>
      </c>
      <c r="G10" s="4">
        <v>50000</v>
      </c>
      <c r="H10" s="4">
        <v>2500000</v>
      </c>
      <c r="I10" s="33"/>
      <c r="J10" s="28" t="s">
        <v>23</v>
      </c>
      <c r="K10" s="28" t="str" cm="1">
        <f t="array" ref="K10">_xlfn.XLOOKUP(C10,_xlfn.ANCHORARRAY($M$2),$N$2:$N$9)</f>
        <v>Mobile</v>
      </c>
      <c r="L10" s="33"/>
      <c r="M10" s="33"/>
      <c r="N10" s="33"/>
      <c r="O10" s="33"/>
    </row>
    <row r="11" spans="1:15">
      <c r="A11" s="3">
        <v>45661</v>
      </c>
      <c r="B11" t="s">
        <v>40</v>
      </c>
      <c r="C11" t="s">
        <v>15</v>
      </c>
      <c r="D11" t="s">
        <v>24</v>
      </c>
      <c r="E11" t="s">
        <v>20</v>
      </c>
      <c r="F11" s="4">
        <v>37</v>
      </c>
      <c r="G11" s="4">
        <v>15000</v>
      </c>
      <c r="H11" s="4">
        <v>555000</v>
      </c>
      <c r="I11" s="33"/>
      <c r="J11" s="28" t="s">
        <v>15</v>
      </c>
      <c r="K11" s="28" t="str" cm="1">
        <f t="array" ref="K11">_xlfn.XLOOKUP(C11,_xlfn.ANCHORARRAY($M$2),$N$2:$N$9)</f>
        <v>Accessories</v>
      </c>
      <c r="L11" s="33"/>
      <c r="M11" s="33"/>
      <c r="N11" s="33"/>
      <c r="O11" s="33"/>
    </row>
    <row r="12" spans="1:15">
      <c r="A12" s="3">
        <v>45844</v>
      </c>
      <c r="B12" t="s">
        <v>43</v>
      </c>
      <c r="C12" t="s">
        <v>10</v>
      </c>
      <c r="D12" t="s">
        <v>11</v>
      </c>
      <c r="E12" t="s">
        <v>25</v>
      </c>
      <c r="F12" s="4">
        <v>40</v>
      </c>
      <c r="G12" s="4">
        <v>800</v>
      </c>
      <c r="H12" s="4">
        <v>32000</v>
      </c>
      <c r="I12" s="33"/>
      <c r="J12" s="28" t="s">
        <v>10</v>
      </c>
      <c r="K12" s="28" t="str" cm="1">
        <f t="array" ref="K12">_xlfn.XLOOKUP(C12,_xlfn.ANCHORARRAY($M$2),$N$2:$N$9)</f>
        <v>Laptop</v>
      </c>
      <c r="L12" s="33"/>
      <c r="M12" s="33"/>
      <c r="N12" s="33"/>
      <c r="O12" s="33"/>
    </row>
    <row r="13" spans="1:15">
      <c r="A13" s="3">
        <v>45731</v>
      </c>
      <c r="B13" t="s">
        <v>45</v>
      </c>
      <c r="C13" t="s">
        <v>23</v>
      </c>
      <c r="D13" t="s">
        <v>29</v>
      </c>
      <c r="E13" t="s">
        <v>46</v>
      </c>
      <c r="F13" s="4">
        <v>41</v>
      </c>
      <c r="G13" s="4">
        <v>800</v>
      </c>
      <c r="H13" s="4">
        <v>32800</v>
      </c>
      <c r="I13" s="33"/>
      <c r="J13" s="28" t="s">
        <v>23</v>
      </c>
      <c r="K13" s="28" t="str" cm="1">
        <f t="array" ref="K13">_xlfn.XLOOKUP(C13,_xlfn.ANCHORARRAY($M$2),$N$2:$N$9)</f>
        <v>Mobile</v>
      </c>
      <c r="L13" s="33"/>
      <c r="M13" s="33"/>
      <c r="N13" s="33"/>
      <c r="O13" s="33"/>
    </row>
    <row r="14" spans="1:15">
      <c r="A14" s="3">
        <v>45772</v>
      </c>
      <c r="B14" t="s">
        <v>48</v>
      </c>
      <c r="C14" t="s">
        <v>15</v>
      </c>
      <c r="D14" t="s">
        <v>29</v>
      </c>
      <c r="E14" t="s">
        <v>46</v>
      </c>
      <c r="F14" s="4">
        <v>27</v>
      </c>
      <c r="G14" s="4">
        <v>50000</v>
      </c>
      <c r="H14" s="4">
        <v>1350000</v>
      </c>
      <c r="I14" s="33"/>
      <c r="J14" s="28" t="s">
        <v>15</v>
      </c>
      <c r="K14" s="28" t="str" cm="1">
        <f t="array" ref="K14">_xlfn.XLOOKUP(C14,_xlfn.ANCHORARRAY($M$2),$N$2:$N$9)</f>
        <v>Accessories</v>
      </c>
      <c r="L14" s="33"/>
      <c r="M14" s="33"/>
      <c r="N14" s="33"/>
      <c r="O14" s="33"/>
    </row>
    <row r="15" spans="1:15">
      <c r="A15" s="3">
        <v>45742</v>
      </c>
      <c r="B15" t="s">
        <v>50</v>
      </c>
      <c r="C15" t="s">
        <v>15</v>
      </c>
      <c r="D15" t="s">
        <v>51</v>
      </c>
      <c r="E15" t="s">
        <v>38</v>
      </c>
      <c r="F15" s="4">
        <v>32</v>
      </c>
      <c r="G15" s="4">
        <v>25000</v>
      </c>
      <c r="H15" s="4">
        <v>799549</v>
      </c>
      <c r="I15" s="33"/>
      <c r="J15" s="28" t="s">
        <v>15</v>
      </c>
      <c r="K15" s="28" t="str" cm="1">
        <f t="array" ref="K15">_xlfn.XLOOKUP(C15,_xlfn.ANCHORARRAY($M$2),$N$2:$N$9)</f>
        <v>Accessories</v>
      </c>
      <c r="L15" s="33"/>
      <c r="M15" s="33"/>
      <c r="N15" s="33"/>
      <c r="O15" s="33"/>
    </row>
    <row r="16" spans="1:15">
      <c r="A16" s="3">
        <v>45706</v>
      </c>
      <c r="B16" t="s">
        <v>53</v>
      </c>
      <c r="C16" t="s">
        <v>15</v>
      </c>
      <c r="D16" t="s">
        <v>24</v>
      </c>
      <c r="E16" t="s">
        <v>38</v>
      </c>
      <c r="F16" s="4">
        <v>12</v>
      </c>
      <c r="G16" s="4">
        <v>30000</v>
      </c>
      <c r="H16" s="4">
        <v>360000</v>
      </c>
      <c r="I16" s="33"/>
      <c r="J16" s="28" t="s">
        <v>15</v>
      </c>
      <c r="K16" s="28" t="str" cm="1">
        <f t="array" ref="K16">_xlfn.XLOOKUP(C16,_xlfn.ANCHORARRAY($M$2),$N$2:$N$9)</f>
        <v>Accessories</v>
      </c>
      <c r="L16" s="33"/>
      <c r="M16" s="33"/>
      <c r="N16" s="33"/>
      <c r="O16" s="33"/>
    </row>
    <row r="17" spans="1:15">
      <c r="A17" s="3">
        <v>45808</v>
      </c>
      <c r="B17" t="s">
        <v>56</v>
      </c>
      <c r="C17" t="s">
        <v>10</v>
      </c>
      <c r="D17" t="s">
        <v>51</v>
      </c>
      <c r="E17" t="s">
        <v>25</v>
      </c>
      <c r="F17" s="4">
        <v>26</v>
      </c>
      <c r="G17" s="4">
        <v>25000</v>
      </c>
      <c r="H17" s="4">
        <v>650000</v>
      </c>
      <c r="I17" s="33"/>
      <c r="J17" s="28" t="s">
        <v>10</v>
      </c>
      <c r="K17" s="28" t="str" cm="1">
        <f t="array" ref="K17">_xlfn.XLOOKUP(C17,_xlfn.ANCHORARRAY($M$2),$N$2:$N$9)</f>
        <v>Laptop</v>
      </c>
      <c r="L17" s="33"/>
      <c r="M17" s="33"/>
      <c r="N17" s="33"/>
      <c r="O17" s="33"/>
    </row>
    <row r="18" spans="1:15">
      <c r="A18" s="3">
        <v>45771</v>
      </c>
      <c r="B18" t="s">
        <v>60</v>
      </c>
      <c r="C18" t="s">
        <v>15</v>
      </c>
      <c r="D18" t="s">
        <v>29</v>
      </c>
      <c r="E18" t="s">
        <v>61</v>
      </c>
      <c r="F18" s="4">
        <v>41</v>
      </c>
      <c r="G18" s="4">
        <v>50000</v>
      </c>
      <c r="H18" s="4">
        <v>2050000</v>
      </c>
      <c r="I18" s="33"/>
      <c r="J18" s="28" t="s">
        <v>15</v>
      </c>
      <c r="K18" s="28" t="str" cm="1">
        <f t="array" ref="K18">_xlfn.XLOOKUP(C18,_xlfn.ANCHORARRAY($M$2),$N$2:$N$9)</f>
        <v>Accessories</v>
      </c>
      <c r="L18" s="33"/>
      <c r="M18" s="33"/>
      <c r="N18" s="33"/>
      <c r="O18" s="33"/>
    </row>
    <row r="19" spans="1:15">
      <c r="A19" s="3">
        <v>45870</v>
      </c>
      <c r="B19" t="s">
        <v>63</v>
      </c>
      <c r="C19" t="s">
        <v>15</v>
      </c>
      <c r="D19" t="s">
        <v>51</v>
      </c>
      <c r="E19" t="s">
        <v>38</v>
      </c>
      <c r="F19" s="4">
        <v>31</v>
      </c>
      <c r="G19" s="4">
        <v>1200</v>
      </c>
      <c r="H19" s="4">
        <v>37200</v>
      </c>
      <c r="I19" s="33"/>
      <c r="J19" s="28" t="s">
        <v>15</v>
      </c>
      <c r="K19" s="28" t="str" cm="1">
        <f t="array" ref="K19">_xlfn.XLOOKUP(C19,_xlfn.ANCHORARRAY($M$2),$N$2:$N$9)</f>
        <v>Accessories</v>
      </c>
      <c r="L19" s="33"/>
      <c r="M19" s="33"/>
      <c r="N19" s="33"/>
      <c r="O19" s="33"/>
    </row>
    <row r="20" spans="1:15">
      <c r="A20" s="3">
        <v>45737</v>
      </c>
      <c r="B20" t="s">
        <v>65</v>
      </c>
      <c r="C20" t="s">
        <v>23</v>
      </c>
      <c r="D20" t="s">
        <v>29</v>
      </c>
      <c r="E20" t="s">
        <v>12</v>
      </c>
      <c r="F20" s="4">
        <v>32</v>
      </c>
      <c r="G20" s="4">
        <v>1200</v>
      </c>
      <c r="H20" s="4">
        <v>38400</v>
      </c>
      <c r="I20" s="33"/>
      <c r="J20" s="28" t="s">
        <v>23</v>
      </c>
      <c r="K20" s="28" t="str" cm="1">
        <f t="array" ref="K20">_xlfn.XLOOKUP(C20,_xlfn.ANCHORARRAY($M$2),$N$2:$N$9)</f>
        <v>Mobile</v>
      </c>
      <c r="L20" s="33"/>
      <c r="M20" s="33"/>
      <c r="N20" s="33"/>
      <c r="O20" s="33"/>
    </row>
    <row r="21" spans="1:15">
      <c r="A21" s="3">
        <v>45729</v>
      </c>
      <c r="B21" t="s">
        <v>67</v>
      </c>
      <c r="C21" t="s">
        <v>15</v>
      </c>
      <c r="D21" t="s">
        <v>24</v>
      </c>
      <c r="E21" t="s">
        <v>61</v>
      </c>
      <c r="F21" s="4">
        <v>24</v>
      </c>
      <c r="G21" s="4">
        <v>50000</v>
      </c>
      <c r="H21" s="4">
        <v>1200000</v>
      </c>
      <c r="I21" s="33"/>
      <c r="J21" s="28" t="s">
        <v>15</v>
      </c>
      <c r="K21" s="28" t="str" cm="1">
        <f t="array" ref="K21">_xlfn.XLOOKUP(C21,_xlfn.ANCHORARRAY($M$2),$N$2:$N$9)</f>
        <v>Accessories</v>
      </c>
      <c r="L21" s="33"/>
      <c r="M21" s="33"/>
      <c r="N21" s="33"/>
      <c r="O21" s="33"/>
    </row>
    <row r="22" spans="1:15">
      <c r="A22" s="3">
        <v>45801</v>
      </c>
      <c r="B22" t="s">
        <v>69</v>
      </c>
      <c r="C22" t="s">
        <v>19</v>
      </c>
      <c r="D22" t="s">
        <v>29</v>
      </c>
      <c r="E22" t="s">
        <v>25</v>
      </c>
      <c r="F22" s="4">
        <v>31</v>
      </c>
      <c r="G22" s="4">
        <v>50000</v>
      </c>
      <c r="H22" s="4">
        <v>1550000</v>
      </c>
      <c r="I22" s="33"/>
      <c r="J22" s="28" t="s">
        <v>19</v>
      </c>
      <c r="K22" s="28" t="str" cm="1">
        <f t="array" ref="K22">_xlfn.XLOOKUP(C22,_xlfn.ANCHORARRAY($M$2),$N$2:$N$9)</f>
        <v>Tablet</v>
      </c>
      <c r="L22" s="33"/>
      <c r="M22" s="33"/>
      <c r="N22" s="33"/>
      <c r="O22" s="33"/>
    </row>
    <row r="23" spans="1:15">
      <c r="A23" s="3">
        <v>45817</v>
      </c>
      <c r="B23" t="s">
        <v>71</v>
      </c>
      <c r="C23" t="s">
        <v>15</v>
      </c>
      <c r="D23" t="s">
        <v>11</v>
      </c>
      <c r="E23" t="s">
        <v>72</v>
      </c>
      <c r="F23" s="4">
        <v>7</v>
      </c>
      <c r="G23" s="4">
        <v>15000</v>
      </c>
      <c r="H23" s="4">
        <v>105000</v>
      </c>
      <c r="I23" s="33"/>
      <c r="J23" s="28" t="s">
        <v>15</v>
      </c>
      <c r="K23" s="28" t="str" cm="1">
        <f t="array" ref="K23">_xlfn.XLOOKUP(C23,_xlfn.ANCHORARRAY($M$2),$N$2:$N$9)</f>
        <v>Accessories</v>
      </c>
      <c r="L23" s="33"/>
      <c r="M23" s="33"/>
      <c r="N23" s="33"/>
      <c r="O23" s="33"/>
    </row>
    <row r="24" spans="1:15">
      <c r="A24" s="3">
        <v>45824</v>
      </c>
      <c r="B24" t="s">
        <v>74</v>
      </c>
      <c r="C24" t="s">
        <v>15</v>
      </c>
      <c r="D24" t="s">
        <v>29</v>
      </c>
      <c r="E24" t="s">
        <v>25</v>
      </c>
      <c r="F24" s="4">
        <v>35</v>
      </c>
      <c r="G24" s="4">
        <v>800</v>
      </c>
      <c r="H24" s="4">
        <v>28000</v>
      </c>
      <c r="I24" s="33"/>
      <c r="J24" s="28" t="s">
        <v>15</v>
      </c>
      <c r="K24" s="28" t="str" cm="1">
        <f t="array" ref="K24">_xlfn.XLOOKUP(C24,_xlfn.ANCHORARRAY($M$2),$N$2:$N$9)</f>
        <v>Accessories</v>
      </c>
      <c r="L24" s="33"/>
      <c r="M24" s="33"/>
      <c r="N24" s="33"/>
      <c r="O24" s="33"/>
    </row>
    <row r="25" spans="1:15">
      <c r="A25" s="3">
        <v>45827</v>
      </c>
      <c r="B25" t="s">
        <v>76</v>
      </c>
      <c r="C25" t="s">
        <v>19</v>
      </c>
      <c r="D25" t="s">
        <v>51</v>
      </c>
      <c r="E25" t="s">
        <v>38</v>
      </c>
      <c r="F25" s="4">
        <v>18</v>
      </c>
      <c r="G25" s="4">
        <v>1200</v>
      </c>
      <c r="H25" s="4">
        <v>21600</v>
      </c>
      <c r="I25" s="33"/>
      <c r="J25" s="28" t="s">
        <v>19</v>
      </c>
      <c r="K25" s="28" t="str" cm="1">
        <f t="array" ref="K25">_xlfn.XLOOKUP(C25,_xlfn.ANCHORARRAY($M$2),$N$2:$N$9)</f>
        <v>Tablet</v>
      </c>
      <c r="L25" s="33"/>
      <c r="M25" s="33"/>
      <c r="N25" s="33"/>
      <c r="O25" s="33"/>
    </row>
    <row r="26" spans="1:15">
      <c r="A26" s="3">
        <v>45697</v>
      </c>
      <c r="B26" t="s">
        <v>78</v>
      </c>
      <c r="C26" t="s">
        <v>23</v>
      </c>
      <c r="D26" t="s">
        <v>51</v>
      </c>
      <c r="E26" t="s">
        <v>38</v>
      </c>
      <c r="F26" s="4">
        <v>45</v>
      </c>
      <c r="G26" s="4">
        <v>25000</v>
      </c>
      <c r="H26" s="4">
        <v>1125000</v>
      </c>
      <c r="I26" s="33"/>
      <c r="J26" s="28" t="s">
        <v>23</v>
      </c>
      <c r="K26" s="28" t="str" cm="1">
        <f t="array" ref="K26">_xlfn.XLOOKUP(C26,_xlfn.ANCHORARRAY($M$2),$N$2:$N$9)</f>
        <v>Mobile</v>
      </c>
      <c r="L26" s="33"/>
      <c r="M26" s="33"/>
      <c r="N26" s="33"/>
      <c r="O26" s="33"/>
    </row>
    <row r="27" spans="1:15">
      <c r="A27" s="3">
        <v>45676</v>
      </c>
      <c r="B27" t="s">
        <v>80</v>
      </c>
      <c r="C27" t="s">
        <v>10</v>
      </c>
      <c r="D27" t="s">
        <v>11</v>
      </c>
      <c r="E27" t="s">
        <v>61</v>
      </c>
      <c r="F27" s="4">
        <v>20</v>
      </c>
      <c r="G27" s="4">
        <v>800</v>
      </c>
      <c r="H27" s="4">
        <v>16000</v>
      </c>
      <c r="I27" s="33"/>
      <c r="J27" s="28" t="s">
        <v>10</v>
      </c>
      <c r="K27" s="28" t="str" cm="1">
        <f t="array" ref="K27">_xlfn.XLOOKUP(C27,_xlfn.ANCHORARRAY($M$2),$N$2:$N$9)</f>
        <v>Laptop</v>
      </c>
      <c r="L27" s="33"/>
      <c r="M27" s="33"/>
      <c r="N27" s="33"/>
      <c r="O27" s="33"/>
    </row>
    <row r="28" spans="1:15">
      <c r="A28" s="3">
        <v>45726</v>
      </c>
      <c r="B28" t="s">
        <v>82</v>
      </c>
      <c r="C28" t="s">
        <v>19</v>
      </c>
      <c r="D28" t="s">
        <v>29</v>
      </c>
      <c r="E28" t="s">
        <v>16</v>
      </c>
      <c r="F28" s="4">
        <v>30</v>
      </c>
      <c r="G28" s="4">
        <v>25000</v>
      </c>
      <c r="H28" s="4">
        <v>750000</v>
      </c>
      <c r="I28" s="33"/>
      <c r="J28" s="28" t="s">
        <v>19</v>
      </c>
      <c r="K28" s="28" t="str" cm="1">
        <f t="array" ref="K28">_xlfn.XLOOKUP(C28,_xlfn.ANCHORARRAY($M$2),$N$2:$N$9)</f>
        <v>Tablet</v>
      </c>
      <c r="L28" s="33"/>
      <c r="M28" s="33"/>
      <c r="N28" s="33"/>
      <c r="O28" s="33"/>
    </row>
    <row r="29" spans="1:15">
      <c r="A29" s="3">
        <v>45820</v>
      </c>
      <c r="B29" t="s">
        <v>84</v>
      </c>
      <c r="C29" t="s">
        <v>10</v>
      </c>
      <c r="D29" t="s">
        <v>11</v>
      </c>
      <c r="E29" t="s">
        <v>72</v>
      </c>
      <c r="F29" s="4">
        <v>4</v>
      </c>
      <c r="G29" s="4">
        <v>25000</v>
      </c>
      <c r="H29" s="4">
        <v>100000</v>
      </c>
      <c r="I29" s="33"/>
      <c r="J29" s="28" t="s">
        <v>10</v>
      </c>
      <c r="K29" s="28" t="str" cm="1">
        <f t="array" ref="K29">_xlfn.XLOOKUP(C29,_xlfn.ANCHORARRAY($M$2),$N$2:$N$9)</f>
        <v>Laptop</v>
      </c>
      <c r="L29" s="33"/>
      <c r="M29" s="33"/>
      <c r="N29" s="33"/>
      <c r="O29" s="33"/>
    </row>
    <row r="30" spans="1:15">
      <c r="A30" s="3">
        <v>45683</v>
      </c>
      <c r="B30" t="s">
        <v>87</v>
      </c>
      <c r="C30" t="s">
        <v>19</v>
      </c>
      <c r="D30" t="s">
        <v>29</v>
      </c>
      <c r="E30" t="s">
        <v>38</v>
      </c>
      <c r="F30" s="4">
        <v>37</v>
      </c>
      <c r="G30" s="4">
        <v>50000</v>
      </c>
      <c r="H30" s="4">
        <v>1850000</v>
      </c>
      <c r="I30" s="33"/>
      <c r="J30" s="28" t="s">
        <v>19</v>
      </c>
      <c r="K30" s="28" t="str" cm="1">
        <f t="array" ref="K30">_xlfn.XLOOKUP(C30,_xlfn.ANCHORARRAY($M$2),$N$2:$N$9)</f>
        <v>Tablet</v>
      </c>
      <c r="L30" s="33"/>
      <c r="M30" s="33"/>
      <c r="N30" s="33"/>
      <c r="O30" s="33"/>
    </row>
    <row r="31" spans="1:15">
      <c r="A31" s="3">
        <v>45837</v>
      </c>
      <c r="B31" t="s">
        <v>89</v>
      </c>
      <c r="C31" t="s">
        <v>23</v>
      </c>
      <c r="D31" t="s">
        <v>24</v>
      </c>
      <c r="E31" t="s">
        <v>16</v>
      </c>
      <c r="F31" s="4">
        <v>13</v>
      </c>
      <c r="G31" s="4">
        <v>30000</v>
      </c>
      <c r="H31" s="4">
        <v>390000</v>
      </c>
      <c r="I31" s="33"/>
      <c r="J31" s="28" t="s">
        <v>23</v>
      </c>
      <c r="K31" s="28" t="str" cm="1">
        <f t="array" ref="K31">_xlfn.XLOOKUP(C31,_xlfn.ANCHORARRAY($M$2),$N$2:$N$9)</f>
        <v>Mobile</v>
      </c>
      <c r="L31" s="33"/>
      <c r="M31" s="33"/>
      <c r="N31" s="33"/>
      <c r="O31" s="33"/>
    </row>
    <row r="32" spans="1:15">
      <c r="A32" s="3">
        <v>45834</v>
      </c>
      <c r="B32" t="s">
        <v>91</v>
      </c>
      <c r="C32" t="s">
        <v>23</v>
      </c>
      <c r="D32" t="s">
        <v>24</v>
      </c>
      <c r="E32" t="s">
        <v>20</v>
      </c>
      <c r="F32" s="4">
        <v>23</v>
      </c>
      <c r="G32" s="4">
        <v>1200</v>
      </c>
      <c r="H32" s="4">
        <v>27600</v>
      </c>
      <c r="I32" s="33"/>
      <c r="J32" s="28" t="s">
        <v>23</v>
      </c>
      <c r="K32" s="28" t="str" cm="1">
        <f t="array" ref="K32">_xlfn.XLOOKUP(C32,_xlfn.ANCHORARRAY($M$2),$N$2:$N$9)</f>
        <v>Mobile</v>
      </c>
      <c r="L32" s="33"/>
      <c r="M32" s="33"/>
      <c r="N32" s="33"/>
      <c r="O32" s="33"/>
    </row>
    <row r="33" spans="1:15">
      <c r="A33" s="3">
        <v>45803</v>
      </c>
      <c r="B33" t="s">
        <v>93</v>
      </c>
      <c r="C33" t="s">
        <v>19</v>
      </c>
      <c r="D33" t="s">
        <v>24</v>
      </c>
      <c r="E33" t="s">
        <v>30</v>
      </c>
      <c r="F33" s="4">
        <v>31</v>
      </c>
      <c r="G33" s="4">
        <v>50000</v>
      </c>
      <c r="H33" s="4">
        <v>1550000</v>
      </c>
      <c r="I33" s="33"/>
      <c r="J33" s="28" t="s">
        <v>19</v>
      </c>
      <c r="K33" s="28" t="str" cm="1">
        <f t="array" ref="K33">_xlfn.XLOOKUP(C33,_xlfn.ANCHORARRAY($M$2),$N$2:$N$9)</f>
        <v>Tablet</v>
      </c>
      <c r="L33" s="33"/>
      <c r="M33" s="33"/>
      <c r="N33" s="33"/>
      <c r="O33" s="33"/>
    </row>
    <row r="34" spans="1:15">
      <c r="A34" s="3">
        <v>45789</v>
      </c>
      <c r="B34" t="s">
        <v>95</v>
      </c>
      <c r="C34" t="s">
        <v>10</v>
      </c>
      <c r="D34" t="s">
        <v>11</v>
      </c>
      <c r="E34" t="s">
        <v>72</v>
      </c>
      <c r="F34" s="4">
        <v>24</v>
      </c>
      <c r="G34" s="4">
        <v>25000</v>
      </c>
      <c r="H34" s="4">
        <v>600000</v>
      </c>
      <c r="I34" s="33"/>
      <c r="J34" s="28" t="s">
        <v>10</v>
      </c>
      <c r="K34" s="28" t="str" cm="1">
        <f t="array" ref="K34">_xlfn.XLOOKUP(C34,_xlfn.ANCHORARRAY($M$2),$N$2:$N$9)</f>
        <v>Laptop</v>
      </c>
      <c r="L34" s="33"/>
      <c r="M34" s="33"/>
      <c r="N34" s="33"/>
      <c r="O34" s="33"/>
    </row>
    <row r="35" spans="1:15">
      <c r="A35" s="3">
        <v>45825</v>
      </c>
      <c r="B35" t="s">
        <v>97</v>
      </c>
      <c r="C35" t="s">
        <v>15</v>
      </c>
      <c r="D35" t="s">
        <v>11</v>
      </c>
      <c r="E35" t="s">
        <v>33</v>
      </c>
      <c r="F35" s="4">
        <v>32</v>
      </c>
      <c r="G35" s="4">
        <v>25000</v>
      </c>
      <c r="H35" s="4">
        <v>800000</v>
      </c>
      <c r="I35" s="33"/>
      <c r="J35" s="28" t="s">
        <v>15</v>
      </c>
      <c r="K35" s="28" t="str" cm="1">
        <f t="array" ref="K35">_xlfn.XLOOKUP(C35,_xlfn.ANCHORARRAY($M$2),$N$2:$N$9)</f>
        <v>Accessories</v>
      </c>
      <c r="L35" s="33"/>
      <c r="M35" s="33"/>
      <c r="N35" s="33"/>
      <c r="O35" s="33"/>
    </row>
    <row r="36" spans="1:15">
      <c r="A36" s="3">
        <v>45810</v>
      </c>
      <c r="B36" t="s">
        <v>99</v>
      </c>
      <c r="C36" t="s">
        <v>19</v>
      </c>
      <c r="D36" t="s">
        <v>11</v>
      </c>
      <c r="E36" t="s">
        <v>72</v>
      </c>
      <c r="F36" s="4">
        <v>21</v>
      </c>
      <c r="G36" s="4">
        <v>15000</v>
      </c>
      <c r="H36" s="4">
        <v>315000</v>
      </c>
      <c r="I36" s="33"/>
      <c r="J36" s="28" t="s">
        <v>19</v>
      </c>
      <c r="K36" s="28" t="str" cm="1">
        <f t="array" ref="K36">_xlfn.XLOOKUP(C36,_xlfn.ANCHORARRAY($M$2),$N$2:$N$9)</f>
        <v>Tablet</v>
      </c>
      <c r="L36" s="33"/>
      <c r="M36" s="33"/>
      <c r="N36" s="33"/>
      <c r="O36" s="33"/>
    </row>
    <row r="37" spans="1:15">
      <c r="A37" s="3">
        <v>45768</v>
      </c>
      <c r="B37" t="s">
        <v>101</v>
      </c>
      <c r="C37" t="s">
        <v>15</v>
      </c>
      <c r="D37" t="s">
        <v>29</v>
      </c>
      <c r="E37" t="s">
        <v>33</v>
      </c>
      <c r="F37" s="4">
        <v>49</v>
      </c>
      <c r="G37" s="4">
        <v>1200</v>
      </c>
      <c r="H37" s="4">
        <v>58800</v>
      </c>
      <c r="I37" s="33"/>
      <c r="J37" s="28" t="s">
        <v>15</v>
      </c>
      <c r="K37" s="28" t="str" cm="1">
        <f t="array" ref="K37">_xlfn.XLOOKUP(C37,_xlfn.ANCHORARRAY($M$2),$N$2:$N$9)</f>
        <v>Accessories</v>
      </c>
      <c r="L37" s="33"/>
      <c r="M37" s="33"/>
      <c r="N37" s="33"/>
      <c r="O37" s="33"/>
    </row>
    <row r="38" spans="1:15">
      <c r="A38" s="3">
        <v>45680</v>
      </c>
      <c r="B38" t="s">
        <v>103</v>
      </c>
      <c r="C38" t="s">
        <v>10</v>
      </c>
      <c r="D38" t="s">
        <v>24</v>
      </c>
      <c r="E38" t="s">
        <v>46</v>
      </c>
      <c r="F38" s="4">
        <v>10</v>
      </c>
      <c r="G38" s="4">
        <v>15000</v>
      </c>
      <c r="H38" s="4">
        <v>150000</v>
      </c>
      <c r="I38" s="33"/>
      <c r="J38" s="28" t="s">
        <v>10</v>
      </c>
      <c r="K38" s="28" t="str" cm="1">
        <f t="array" ref="K38">_xlfn.XLOOKUP(C38,_xlfn.ANCHORARRAY($M$2),$N$2:$N$9)</f>
        <v>Laptop</v>
      </c>
      <c r="L38" s="33"/>
      <c r="M38" s="33"/>
      <c r="N38" s="33"/>
      <c r="O38" s="33"/>
    </row>
    <row r="39" spans="1:15">
      <c r="A39" s="3">
        <v>45780</v>
      </c>
      <c r="B39" t="s">
        <v>105</v>
      </c>
      <c r="C39" t="s">
        <v>15</v>
      </c>
      <c r="D39" t="s">
        <v>24</v>
      </c>
      <c r="E39" t="s">
        <v>30</v>
      </c>
      <c r="F39" s="4">
        <v>43</v>
      </c>
      <c r="G39" s="4">
        <v>50000</v>
      </c>
      <c r="H39" s="4">
        <v>2150000</v>
      </c>
      <c r="I39" s="33"/>
      <c r="J39" s="28" t="s">
        <v>15</v>
      </c>
      <c r="K39" s="28" t="str" cm="1">
        <f t="array" ref="K39">_xlfn.XLOOKUP(C39,_xlfn.ANCHORARRAY($M$2),$N$2:$N$9)</f>
        <v>Accessories</v>
      </c>
      <c r="L39" s="33"/>
      <c r="M39" s="33"/>
      <c r="N39" s="33"/>
      <c r="O39" s="33"/>
    </row>
    <row r="40" spans="1:15">
      <c r="A40" s="3">
        <v>45836</v>
      </c>
      <c r="B40" t="s">
        <v>107</v>
      </c>
      <c r="C40" t="s">
        <v>15</v>
      </c>
      <c r="D40" t="s">
        <v>51</v>
      </c>
      <c r="E40" t="s">
        <v>38</v>
      </c>
      <c r="F40" s="4">
        <v>36</v>
      </c>
      <c r="G40" s="4">
        <v>1200</v>
      </c>
      <c r="H40" s="4">
        <v>43200</v>
      </c>
      <c r="I40" s="33"/>
      <c r="J40" s="28" t="s">
        <v>15</v>
      </c>
      <c r="K40" s="28" t="str" cm="1">
        <f t="array" ref="K40">_xlfn.XLOOKUP(C40,_xlfn.ANCHORARRAY($M$2),$N$2:$N$9)</f>
        <v>Accessories</v>
      </c>
      <c r="L40" s="33"/>
      <c r="M40" s="33"/>
      <c r="N40" s="33"/>
      <c r="O40" s="33"/>
    </row>
    <row r="41" spans="1:15">
      <c r="A41" s="3">
        <v>45830</v>
      </c>
      <c r="B41" t="s">
        <v>109</v>
      </c>
      <c r="C41" t="s">
        <v>10</v>
      </c>
      <c r="D41" t="s">
        <v>24</v>
      </c>
      <c r="E41" t="s">
        <v>30</v>
      </c>
      <c r="F41" s="4">
        <v>17</v>
      </c>
      <c r="G41" s="4">
        <v>25000</v>
      </c>
      <c r="H41" s="4">
        <v>425000</v>
      </c>
      <c r="I41" s="33"/>
      <c r="J41" s="28" t="s">
        <v>10</v>
      </c>
      <c r="K41" s="28" t="str" cm="1">
        <f t="array" ref="K41">_xlfn.XLOOKUP(C41,_xlfn.ANCHORARRAY($M$2),$N$2:$N$9)</f>
        <v>Laptop</v>
      </c>
      <c r="L41" s="33"/>
      <c r="M41" s="33"/>
      <c r="N41" s="33"/>
      <c r="O41" s="33"/>
    </row>
    <row r="42" spans="1:15">
      <c r="A42" s="3">
        <v>45996</v>
      </c>
      <c r="B42" t="s">
        <v>111</v>
      </c>
      <c r="C42" t="s">
        <v>23</v>
      </c>
      <c r="D42" t="s">
        <v>51</v>
      </c>
      <c r="E42" t="s">
        <v>25</v>
      </c>
      <c r="F42" s="4">
        <v>16</v>
      </c>
      <c r="G42" s="4">
        <v>50000</v>
      </c>
      <c r="H42" s="4">
        <v>800000</v>
      </c>
      <c r="I42" s="33"/>
      <c r="J42" s="28" t="s">
        <v>23</v>
      </c>
      <c r="K42" s="28" t="str" cm="1">
        <f t="array" ref="K42">_xlfn.XLOOKUP(C42,_xlfn.ANCHORARRAY($M$2),$N$2:$N$9)</f>
        <v>Mobile</v>
      </c>
      <c r="L42" s="33"/>
      <c r="M42" s="33"/>
      <c r="N42" s="33"/>
      <c r="O42" s="33"/>
    </row>
    <row r="43" spans="1:15">
      <c r="A43" s="3">
        <v>45760</v>
      </c>
      <c r="B43" t="s">
        <v>113</v>
      </c>
      <c r="C43" t="s">
        <v>10</v>
      </c>
      <c r="D43" t="s">
        <v>51</v>
      </c>
      <c r="E43" t="s">
        <v>20</v>
      </c>
      <c r="F43" s="4">
        <v>30</v>
      </c>
      <c r="G43" s="4">
        <v>800</v>
      </c>
      <c r="H43" s="4">
        <v>24000</v>
      </c>
      <c r="I43" s="33"/>
      <c r="J43" s="28" t="s">
        <v>10</v>
      </c>
      <c r="K43" s="28" t="str" cm="1">
        <f t="array" ref="K43">_xlfn.XLOOKUP(C43,_xlfn.ANCHORARRAY($M$2),$N$2:$N$9)</f>
        <v>Laptop</v>
      </c>
      <c r="L43" s="33"/>
      <c r="M43" s="33"/>
      <c r="N43" s="33"/>
      <c r="O43" s="33"/>
    </row>
    <row r="44" spans="1:15">
      <c r="A44" s="3">
        <v>45794</v>
      </c>
      <c r="B44" t="s">
        <v>115</v>
      </c>
      <c r="C44" t="s">
        <v>116</v>
      </c>
      <c r="D44" t="s">
        <v>11</v>
      </c>
      <c r="E44" t="s">
        <v>46</v>
      </c>
      <c r="F44" s="4">
        <v>3</v>
      </c>
      <c r="G44" s="4">
        <v>800</v>
      </c>
      <c r="H44" s="4">
        <v>2400</v>
      </c>
      <c r="I44" s="33"/>
      <c r="J44" s="28" t="s">
        <v>116</v>
      </c>
      <c r="K44" s="28" t="str" cm="1">
        <f t="array" ref="K44">_xlfn.XLOOKUP(C44,_xlfn.ANCHORARRAY($M$2),$N$2:$N$9)</f>
        <v>Mobile</v>
      </c>
      <c r="L44" s="33"/>
      <c r="M44" s="33"/>
      <c r="N44" s="33"/>
      <c r="O44" s="33"/>
    </row>
    <row r="45" spans="1:15">
      <c r="A45" s="3">
        <v>45712</v>
      </c>
      <c r="B45" t="s">
        <v>119</v>
      </c>
      <c r="C45" t="s">
        <v>10</v>
      </c>
      <c r="D45" t="s">
        <v>24</v>
      </c>
      <c r="E45" t="s">
        <v>16</v>
      </c>
      <c r="F45" s="4">
        <v>40</v>
      </c>
      <c r="G45" s="4">
        <v>25000</v>
      </c>
      <c r="H45" s="4">
        <v>1000000</v>
      </c>
      <c r="I45" s="33"/>
      <c r="J45" s="28" t="s">
        <v>10</v>
      </c>
      <c r="K45" s="28" t="str" cm="1">
        <f t="array" ref="K45">_xlfn.XLOOKUP(C45,_xlfn.ANCHORARRAY($M$2),$N$2:$N$9)</f>
        <v>Laptop</v>
      </c>
      <c r="L45" s="33"/>
      <c r="M45" s="33"/>
      <c r="N45" s="33"/>
      <c r="O45" s="33"/>
    </row>
    <row r="46" spans="1:15">
      <c r="A46" s="3">
        <v>45727</v>
      </c>
      <c r="B46" t="s">
        <v>121</v>
      </c>
      <c r="C46" t="s">
        <v>23</v>
      </c>
      <c r="D46" t="s">
        <v>11</v>
      </c>
      <c r="E46" t="s">
        <v>25</v>
      </c>
      <c r="F46" s="4">
        <v>7</v>
      </c>
      <c r="G46" s="4">
        <v>30000</v>
      </c>
      <c r="H46" s="4">
        <v>210000</v>
      </c>
      <c r="I46" s="33"/>
      <c r="J46" s="28" t="s">
        <v>23</v>
      </c>
      <c r="K46" s="28" t="str" cm="1">
        <f t="array" ref="K46">_xlfn.XLOOKUP(C46,_xlfn.ANCHORARRAY($M$2),$N$2:$N$9)</f>
        <v>Mobile</v>
      </c>
      <c r="L46" s="33"/>
      <c r="M46" s="33"/>
      <c r="N46" s="33"/>
      <c r="O46" s="33"/>
    </row>
    <row r="47" spans="1:15">
      <c r="A47" s="3">
        <v>45832</v>
      </c>
      <c r="B47" t="s">
        <v>123</v>
      </c>
      <c r="C47" t="s">
        <v>23</v>
      </c>
      <c r="D47" t="s">
        <v>29</v>
      </c>
      <c r="E47" t="s">
        <v>30</v>
      </c>
      <c r="F47" s="4">
        <v>13</v>
      </c>
      <c r="G47" s="4">
        <v>30000</v>
      </c>
      <c r="H47" s="4">
        <v>390000</v>
      </c>
      <c r="I47" s="33"/>
      <c r="J47" s="28" t="s">
        <v>23</v>
      </c>
      <c r="K47" s="28" t="str" cm="1">
        <f t="array" ref="K47">_xlfn.XLOOKUP(C47,_xlfn.ANCHORARRAY($M$2),$N$2:$N$9)</f>
        <v>Mobile</v>
      </c>
      <c r="L47" s="33"/>
      <c r="M47" s="33"/>
      <c r="N47" s="33"/>
      <c r="O47" s="33"/>
    </row>
    <row r="48" spans="1:15">
      <c r="A48" s="3">
        <v>45705</v>
      </c>
      <c r="B48" t="s">
        <v>125</v>
      </c>
      <c r="C48" t="s">
        <v>23</v>
      </c>
      <c r="D48" t="s">
        <v>11</v>
      </c>
      <c r="E48" t="s">
        <v>12</v>
      </c>
      <c r="F48" s="4">
        <v>29</v>
      </c>
      <c r="G48" s="4">
        <v>1200</v>
      </c>
      <c r="H48" s="4">
        <v>34800</v>
      </c>
      <c r="I48" s="33"/>
      <c r="J48" s="28" t="s">
        <v>23</v>
      </c>
      <c r="K48" s="28" t="str" cm="1">
        <f t="array" ref="K48">_xlfn.XLOOKUP(C48,_xlfn.ANCHORARRAY($M$2),$N$2:$N$9)</f>
        <v>Mobile</v>
      </c>
      <c r="L48" s="33"/>
      <c r="M48" s="33"/>
      <c r="N48" s="33"/>
      <c r="O48" s="33"/>
    </row>
    <row r="49" spans="1:15">
      <c r="A49" s="3">
        <v>45677</v>
      </c>
      <c r="B49" t="s">
        <v>127</v>
      </c>
      <c r="C49" t="s">
        <v>10</v>
      </c>
      <c r="D49" t="s">
        <v>51</v>
      </c>
      <c r="E49" t="s">
        <v>30</v>
      </c>
      <c r="F49" s="4">
        <v>45</v>
      </c>
      <c r="G49" s="4">
        <v>30000</v>
      </c>
      <c r="H49" s="4">
        <v>1350000</v>
      </c>
      <c r="I49" s="33"/>
      <c r="J49" s="28" t="s">
        <v>10</v>
      </c>
      <c r="K49" s="28" t="str" cm="1">
        <f t="array" ref="K49">_xlfn.XLOOKUP(C49,_xlfn.ANCHORARRAY($M$2),$N$2:$N$9)</f>
        <v>Laptop</v>
      </c>
      <c r="L49" s="33"/>
      <c r="M49" s="33"/>
      <c r="N49" s="33"/>
      <c r="O49" s="33"/>
    </row>
    <row r="50" spans="1:15">
      <c r="A50" s="3">
        <v>45812</v>
      </c>
      <c r="B50" t="s">
        <v>129</v>
      </c>
      <c r="C50" t="s">
        <v>10</v>
      </c>
      <c r="D50" t="s">
        <v>11</v>
      </c>
      <c r="E50" t="s">
        <v>72</v>
      </c>
      <c r="F50" s="4">
        <v>45</v>
      </c>
      <c r="G50" s="4">
        <v>15000</v>
      </c>
      <c r="H50" s="4">
        <v>675000</v>
      </c>
      <c r="I50" s="33"/>
      <c r="J50" s="28" t="s">
        <v>10</v>
      </c>
      <c r="K50" s="28" t="str" cm="1">
        <f t="array" ref="K50">_xlfn.XLOOKUP(C50,_xlfn.ANCHORARRAY($M$2),$N$2:$N$9)</f>
        <v>Laptop</v>
      </c>
      <c r="L50" s="33"/>
      <c r="M50" s="33"/>
      <c r="N50" s="33"/>
      <c r="O50" s="33"/>
    </row>
    <row r="51" spans="1:15">
      <c r="A51" s="3">
        <v>45732</v>
      </c>
      <c r="B51" t="s">
        <v>131</v>
      </c>
      <c r="C51" t="s">
        <v>15</v>
      </c>
      <c r="D51" t="s">
        <v>11</v>
      </c>
      <c r="E51" t="s">
        <v>20</v>
      </c>
      <c r="F51" s="4">
        <v>19</v>
      </c>
      <c r="G51" s="4">
        <v>800</v>
      </c>
      <c r="H51" s="4">
        <v>15200</v>
      </c>
      <c r="I51" s="33"/>
      <c r="J51" s="28" t="s">
        <v>15</v>
      </c>
      <c r="K51" s="28" t="str" cm="1">
        <f t="array" ref="K51">_xlfn.XLOOKUP(C51,_xlfn.ANCHORARRAY($M$2),$N$2:$N$9)</f>
        <v>Accessories</v>
      </c>
      <c r="L51" s="33"/>
      <c r="M51" s="33"/>
      <c r="N51" s="33"/>
      <c r="O51" s="33"/>
    </row>
    <row r="52" spans="1:15">
      <c r="A52" s="3">
        <v>45703</v>
      </c>
      <c r="B52" t="s">
        <v>133</v>
      </c>
      <c r="C52" t="s">
        <v>19</v>
      </c>
      <c r="D52" t="s">
        <v>51</v>
      </c>
      <c r="E52" t="s">
        <v>12</v>
      </c>
      <c r="F52" s="4">
        <v>47</v>
      </c>
      <c r="G52" s="4">
        <v>25000</v>
      </c>
      <c r="H52" s="4">
        <v>1175000</v>
      </c>
      <c r="I52" s="33"/>
      <c r="J52" s="28" t="s">
        <v>19</v>
      </c>
      <c r="K52" s="28" t="str" cm="1">
        <f t="array" ref="K52">_xlfn.XLOOKUP(C52,_xlfn.ANCHORARRAY($M$2),$N$2:$N$9)</f>
        <v>Tablet</v>
      </c>
      <c r="L52" s="33"/>
      <c r="M52" s="33"/>
      <c r="N52" s="33"/>
      <c r="O52" s="33"/>
    </row>
    <row r="53" spans="1:15">
      <c r="A53" s="3">
        <v>45732</v>
      </c>
      <c r="B53" t="s">
        <v>135</v>
      </c>
      <c r="C53" t="s">
        <v>23</v>
      </c>
      <c r="D53" t="s">
        <v>29</v>
      </c>
      <c r="E53" t="s">
        <v>33</v>
      </c>
      <c r="F53" s="4">
        <v>10</v>
      </c>
      <c r="G53" s="4">
        <v>800</v>
      </c>
      <c r="H53" s="4">
        <v>7346</v>
      </c>
      <c r="I53" s="33"/>
      <c r="J53" s="28" t="s">
        <v>23</v>
      </c>
      <c r="K53" s="28" t="str" cm="1">
        <f t="array" ref="K53">_xlfn.XLOOKUP(C53,_xlfn.ANCHORARRAY($M$2),$N$2:$N$9)</f>
        <v>Mobile</v>
      </c>
      <c r="L53" s="33"/>
      <c r="M53" s="33"/>
      <c r="N53" s="33"/>
      <c r="O53" s="33"/>
    </row>
    <row r="54" spans="1:15">
      <c r="A54" s="3">
        <v>45815</v>
      </c>
      <c r="B54" t="s">
        <v>137</v>
      </c>
      <c r="C54" t="s">
        <v>10</v>
      </c>
      <c r="D54" t="s">
        <v>11</v>
      </c>
      <c r="E54" t="s">
        <v>16</v>
      </c>
      <c r="F54" s="4">
        <v>42</v>
      </c>
      <c r="G54" s="4">
        <v>15000</v>
      </c>
      <c r="H54" s="4">
        <v>630000</v>
      </c>
      <c r="I54" s="33"/>
      <c r="J54" s="28" t="s">
        <v>10</v>
      </c>
      <c r="K54" s="28" t="str" cm="1">
        <f t="array" ref="K54">_xlfn.XLOOKUP(C54,_xlfn.ANCHORARRAY($M$2),$N$2:$N$9)</f>
        <v>Laptop</v>
      </c>
      <c r="L54" s="33"/>
      <c r="M54" s="33"/>
      <c r="N54" s="33"/>
      <c r="O54" s="33"/>
    </row>
    <row r="55" spans="1:15">
      <c r="A55" s="3">
        <v>45751</v>
      </c>
      <c r="B55" t="s">
        <v>138</v>
      </c>
      <c r="C55" t="s">
        <v>23</v>
      </c>
      <c r="D55" t="s">
        <v>51</v>
      </c>
      <c r="E55" t="s">
        <v>61</v>
      </c>
      <c r="F55" s="4">
        <v>19</v>
      </c>
      <c r="G55" s="4">
        <v>800</v>
      </c>
      <c r="H55" s="4">
        <v>15200</v>
      </c>
      <c r="I55" s="33"/>
      <c r="J55" s="28" t="s">
        <v>23</v>
      </c>
      <c r="K55" s="28" t="str" cm="1">
        <f t="array" ref="K55">_xlfn.XLOOKUP(C55,_xlfn.ANCHORARRAY($M$2),$N$2:$N$9)</f>
        <v>Mobile</v>
      </c>
      <c r="L55" s="33"/>
      <c r="M55" s="33"/>
      <c r="N55" s="33"/>
      <c r="O55" s="33"/>
    </row>
    <row r="56" spans="1:15">
      <c r="A56" s="3">
        <v>45686</v>
      </c>
      <c r="B56" t="s">
        <v>140</v>
      </c>
      <c r="C56" t="s">
        <v>15</v>
      </c>
      <c r="D56" t="s">
        <v>11</v>
      </c>
      <c r="E56" t="s">
        <v>20</v>
      </c>
      <c r="F56" s="4">
        <v>49</v>
      </c>
      <c r="G56" s="4">
        <v>50000</v>
      </c>
      <c r="H56" s="4">
        <v>2450000</v>
      </c>
      <c r="I56" s="33"/>
      <c r="J56" s="28" t="s">
        <v>15</v>
      </c>
      <c r="K56" s="28" t="str" cm="1">
        <f t="array" ref="K56">_xlfn.XLOOKUP(C56,_xlfn.ANCHORARRAY($M$2),$N$2:$N$9)</f>
        <v>Accessories</v>
      </c>
      <c r="L56" s="33"/>
      <c r="M56" s="33"/>
      <c r="N56" s="33"/>
      <c r="O56" s="33"/>
    </row>
    <row r="57" spans="1:15">
      <c r="A57" s="3">
        <v>45819</v>
      </c>
      <c r="B57" t="s">
        <v>142</v>
      </c>
      <c r="C57" t="s">
        <v>143</v>
      </c>
      <c r="D57" t="s">
        <v>29</v>
      </c>
      <c r="E57" t="s">
        <v>12</v>
      </c>
      <c r="F57" s="4">
        <v>14</v>
      </c>
      <c r="G57" s="4">
        <v>15000</v>
      </c>
      <c r="H57" s="4">
        <v>210000</v>
      </c>
      <c r="I57" s="33"/>
      <c r="J57" s="28" t="s">
        <v>143</v>
      </c>
      <c r="K57" s="28" t="str" cm="1">
        <f t="array" ref="K57">_xlfn.XLOOKUP(C57,_xlfn.ANCHORARRAY($M$2),$N$2:$N$9)</f>
        <v>Laptop</v>
      </c>
      <c r="L57" s="33"/>
      <c r="M57" s="33"/>
      <c r="N57" s="33"/>
      <c r="O57" s="33"/>
    </row>
    <row r="58" spans="1:15">
      <c r="A58" s="3">
        <v>45804</v>
      </c>
      <c r="B58" t="s">
        <v>145</v>
      </c>
      <c r="C58" t="s">
        <v>23</v>
      </c>
      <c r="D58" t="s">
        <v>51</v>
      </c>
      <c r="E58" t="s">
        <v>20</v>
      </c>
      <c r="F58" s="4">
        <v>10</v>
      </c>
      <c r="G58" s="4">
        <v>1200</v>
      </c>
      <c r="H58" s="4">
        <v>12000</v>
      </c>
      <c r="I58" s="33"/>
      <c r="J58" s="28" t="s">
        <v>23</v>
      </c>
      <c r="K58" s="28" t="str" cm="1">
        <f t="array" ref="K58">_xlfn.XLOOKUP(C58,_xlfn.ANCHORARRAY($M$2),$N$2:$N$9)</f>
        <v>Mobile</v>
      </c>
      <c r="L58" s="33"/>
      <c r="M58" s="33"/>
      <c r="N58" s="33"/>
      <c r="O58" s="33"/>
    </row>
    <row r="59" spans="1:15">
      <c r="A59" s="3">
        <v>45734</v>
      </c>
      <c r="B59" t="s">
        <v>147</v>
      </c>
      <c r="C59" t="s">
        <v>19</v>
      </c>
      <c r="D59" t="s">
        <v>24</v>
      </c>
      <c r="E59" t="s">
        <v>20</v>
      </c>
      <c r="F59" s="4">
        <v>24</v>
      </c>
      <c r="G59" s="4">
        <v>30000</v>
      </c>
      <c r="H59" s="4">
        <v>720000</v>
      </c>
      <c r="I59" s="33"/>
      <c r="J59" s="28" t="s">
        <v>19</v>
      </c>
      <c r="K59" s="28" t="str" cm="1">
        <f t="array" ref="K59">_xlfn.XLOOKUP(C59,_xlfn.ANCHORARRAY($M$2),$N$2:$N$9)</f>
        <v>Tablet</v>
      </c>
      <c r="L59" s="33"/>
      <c r="M59" s="33"/>
      <c r="N59" s="33"/>
      <c r="O59" s="33"/>
    </row>
    <row r="60" spans="1:15">
      <c r="A60" s="3">
        <v>45711</v>
      </c>
      <c r="B60" t="s">
        <v>149</v>
      </c>
      <c r="C60" t="s">
        <v>10</v>
      </c>
      <c r="D60" t="s">
        <v>51</v>
      </c>
      <c r="E60" t="s">
        <v>20</v>
      </c>
      <c r="F60" s="4">
        <v>23</v>
      </c>
      <c r="G60" s="4">
        <v>25000</v>
      </c>
      <c r="H60" s="4">
        <v>575000</v>
      </c>
      <c r="I60" s="33"/>
      <c r="J60" s="28" t="s">
        <v>10</v>
      </c>
      <c r="K60" s="28" t="str" cm="1">
        <f t="array" ref="K60">_xlfn.XLOOKUP(C60,_xlfn.ANCHORARRAY($M$2),$N$2:$N$9)</f>
        <v>Laptop</v>
      </c>
      <c r="L60" s="33"/>
      <c r="M60" s="33"/>
      <c r="N60" s="33"/>
      <c r="O60" s="33"/>
    </row>
    <row r="61" spans="1:15">
      <c r="A61" s="3">
        <v>45693</v>
      </c>
      <c r="B61" t="s">
        <v>150</v>
      </c>
      <c r="C61" t="s">
        <v>10</v>
      </c>
      <c r="D61" t="s">
        <v>51</v>
      </c>
      <c r="E61" t="s">
        <v>72</v>
      </c>
      <c r="F61" s="4">
        <v>7</v>
      </c>
      <c r="G61" s="4">
        <v>25000</v>
      </c>
      <c r="H61" s="4">
        <v>175000</v>
      </c>
      <c r="I61" s="33"/>
      <c r="J61" s="28" t="s">
        <v>10</v>
      </c>
      <c r="K61" s="28" t="str" cm="1">
        <f t="array" ref="K61">_xlfn.XLOOKUP(C61,_xlfn.ANCHORARRAY($M$2),$N$2:$N$9)</f>
        <v>Laptop</v>
      </c>
      <c r="L61" s="33"/>
      <c r="M61" s="33"/>
      <c r="N61" s="33"/>
      <c r="O61" s="33"/>
    </row>
    <row r="62" spans="1:15">
      <c r="A62" s="3">
        <v>45769</v>
      </c>
      <c r="B62" t="s">
        <v>152</v>
      </c>
      <c r="C62" t="s">
        <v>19</v>
      </c>
      <c r="D62" t="s">
        <v>11</v>
      </c>
      <c r="E62" t="s">
        <v>38</v>
      </c>
      <c r="F62" s="4">
        <v>48</v>
      </c>
      <c r="G62" s="4">
        <v>25000</v>
      </c>
      <c r="H62" s="4">
        <v>1200000</v>
      </c>
      <c r="I62" s="33"/>
      <c r="J62" s="28" t="s">
        <v>19</v>
      </c>
      <c r="K62" s="28" t="str" cm="1">
        <f t="array" ref="K62">_xlfn.XLOOKUP(C62,_xlfn.ANCHORARRAY($M$2),$N$2:$N$9)</f>
        <v>Tablet</v>
      </c>
      <c r="L62" s="33"/>
      <c r="M62" s="33"/>
      <c r="N62" s="33"/>
      <c r="O62" s="33"/>
    </row>
    <row r="63" spans="1:15">
      <c r="A63" s="3">
        <v>45875</v>
      </c>
      <c r="B63" t="s">
        <v>154</v>
      </c>
      <c r="C63" t="s">
        <v>23</v>
      </c>
      <c r="D63" t="s">
        <v>51</v>
      </c>
      <c r="E63" t="s">
        <v>20</v>
      </c>
      <c r="F63" s="4">
        <v>14</v>
      </c>
      <c r="G63" s="4">
        <v>1200</v>
      </c>
      <c r="H63" s="4">
        <v>16800</v>
      </c>
      <c r="I63" s="33"/>
      <c r="J63" s="28" t="s">
        <v>23</v>
      </c>
      <c r="K63" s="28" t="str" cm="1">
        <f t="array" ref="K63">_xlfn.XLOOKUP(C63,_xlfn.ANCHORARRAY($M$2),$N$2:$N$9)</f>
        <v>Mobile</v>
      </c>
      <c r="L63" s="33"/>
      <c r="M63" s="33"/>
      <c r="N63" s="33"/>
      <c r="O63" s="33"/>
    </row>
    <row r="64" spans="1:15">
      <c r="A64" s="3">
        <v>45803</v>
      </c>
      <c r="B64" t="s">
        <v>156</v>
      </c>
      <c r="C64" t="s">
        <v>15</v>
      </c>
      <c r="D64" t="s">
        <v>24</v>
      </c>
      <c r="E64" t="s">
        <v>30</v>
      </c>
      <c r="F64" s="4">
        <v>21</v>
      </c>
      <c r="G64" s="4">
        <v>30000</v>
      </c>
      <c r="H64" s="4">
        <v>630000</v>
      </c>
      <c r="I64" s="33"/>
      <c r="J64" s="28" t="s">
        <v>15</v>
      </c>
      <c r="K64" s="28" t="str" cm="1">
        <f t="array" ref="K64">_xlfn.XLOOKUP(C64,_xlfn.ANCHORARRAY($M$2),$N$2:$N$9)</f>
        <v>Accessories</v>
      </c>
      <c r="L64" s="33"/>
      <c r="M64" s="33"/>
      <c r="N64" s="33"/>
      <c r="O64" s="33"/>
    </row>
    <row r="65" spans="1:15">
      <c r="A65" s="3">
        <v>45658</v>
      </c>
      <c r="B65" t="s">
        <v>158</v>
      </c>
      <c r="C65" t="s">
        <v>10</v>
      </c>
      <c r="D65" t="s">
        <v>24</v>
      </c>
      <c r="E65" t="s">
        <v>33</v>
      </c>
      <c r="F65" s="4">
        <v>31</v>
      </c>
      <c r="G65" s="4">
        <v>1200</v>
      </c>
      <c r="H65" s="4">
        <v>37200</v>
      </c>
      <c r="I65" s="33"/>
      <c r="J65" s="28" t="s">
        <v>10</v>
      </c>
      <c r="K65" s="28" t="str" cm="1">
        <f t="array" ref="K65">_xlfn.XLOOKUP(C65,_xlfn.ANCHORARRAY($M$2),$N$2:$N$9)</f>
        <v>Laptop</v>
      </c>
      <c r="L65" s="33"/>
      <c r="M65" s="33"/>
      <c r="N65" s="33"/>
      <c r="O65" s="33"/>
    </row>
    <row r="66" spans="1:15">
      <c r="A66" s="3">
        <v>45703</v>
      </c>
      <c r="B66" t="s">
        <v>159</v>
      </c>
      <c r="C66" t="s">
        <v>23</v>
      </c>
      <c r="D66" t="s">
        <v>51</v>
      </c>
      <c r="E66" t="s">
        <v>20</v>
      </c>
      <c r="F66" s="4">
        <v>44</v>
      </c>
      <c r="G66" s="4">
        <v>30000</v>
      </c>
      <c r="H66" s="4">
        <v>1320000</v>
      </c>
      <c r="I66" s="33"/>
      <c r="J66" s="28" t="s">
        <v>23</v>
      </c>
      <c r="K66" s="28" t="str" cm="1">
        <f t="array" ref="K66">_xlfn.XLOOKUP(C66,_xlfn.ANCHORARRAY($M$2),$N$2:$N$9)</f>
        <v>Mobile</v>
      </c>
      <c r="L66" s="33"/>
      <c r="M66" s="33"/>
      <c r="N66" s="33"/>
      <c r="O66" s="33"/>
    </row>
    <row r="67" spans="1:15">
      <c r="A67" s="3">
        <v>45781</v>
      </c>
      <c r="B67" t="s">
        <v>161</v>
      </c>
      <c r="C67" t="s">
        <v>23</v>
      </c>
      <c r="D67" t="s">
        <v>11</v>
      </c>
      <c r="E67" t="s">
        <v>25</v>
      </c>
      <c r="F67" s="4">
        <v>15</v>
      </c>
      <c r="G67" s="4">
        <v>30000</v>
      </c>
      <c r="H67" s="4">
        <v>450000</v>
      </c>
      <c r="I67" s="33"/>
      <c r="J67" s="28" t="s">
        <v>23</v>
      </c>
      <c r="K67" s="28" t="str" cm="1">
        <f t="array" ref="K67">_xlfn.XLOOKUP(C67,_xlfn.ANCHORARRAY($M$2),$N$2:$N$9)</f>
        <v>Mobile</v>
      </c>
      <c r="L67" s="33"/>
      <c r="M67" s="33"/>
      <c r="N67" s="33"/>
      <c r="O67" s="33"/>
    </row>
    <row r="68" spans="1:15">
      <c r="A68" s="3">
        <v>45786</v>
      </c>
      <c r="B68" t="s">
        <v>163</v>
      </c>
      <c r="C68" t="s">
        <v>19</v>
      </c>
      <c r="D68" t="s">
        <v>11</v>
      </c>
      <c r="E68" t="s">
        <v>38</v>
      </c>
      <c r="F68" s="4">
        <v>8</v>
      </c>
      <c r="G68" s="4">
        <v>15000</v>
      </c>
      <c r="H68" s="4">
        <v>120000</v>
      </c>
      <c r="I68" s="33"/>
      <c r="J68" s="28" t="s">
        <v>19</v>
      </c>
      <c r="K68" s="28" t="str" cm="1">
        <f t="array" ref="K68">_xlfn.XLOOKUP(C68,_xlfn.ANCHORARRAY($M$2),$N$2:$N$9)</f>
        <v>Tablet</v>
      </c>
      <c r="L68" s="33"/>
      <c r="M68" s="33"/>
      <c r="N68" s="33"/>
      <c r="O68" s="33"/>
    </row>
    <row r="69" spans="1:15">
      <c r="A69" s="3">
        <v>45664</v>
      </c>
      <c r="B69" t="s">
        <v>165</v>
      </c>
      <c r="C69" t="s">
        <v>116</v>
      </c>
      <c r="D69" t="s">
        <v>11</v>
      </c>
      <c r="E69" t="s">
        <v>61</v>
      </c>
      <c r="F69" s="4">
        <v>5</v>
      </c>
      <c r="G69" s="4">
        <v>25000</v>
      </c>
      <c r="H69" s="4">
        <v>125000</v>
      </c>
      <c r="I69" s="33"/>
      <c r="J69" s="28" t="s">
        <v>116</v>
      </c>
      <c r="K69" s="28" t="str" cm="1">
        <f t="array" ref="K69">_xlfn.XLOOKUP(C69,_xlfn.ANCHORARRAY($M$2),$N$2:$N$9)</f>
        <v>Mobile</v>
      </c>
      <c r="L69" s="33"/>
      <c r="M69" s="33"/>
      <c r="N69" s="33"/>
      <c r="O69" s="33"/>
    </row>
    <row r="70" spans="1:15">
      <c r="A70" s="3">
        <v>45826</v>
      </c>
      <c r="B70" t="s">
        <v>167</v>
      </c>
      <c r="C70" t="s">
        <v>10</v>
      </c>
      <c r="D70" t="s">
        <v>11</v>
      </c>
      <c r="E70" t="s">
        <v>25</v>
      </c>
      <c r="F70" s="4">
        <v>27</v>
      </c>
      <c r="G70" s="4">
        <v>15000</v>
      </c>
      <c r="H70" s="4">
        <v>405000</v>
      </c>
      <c r="I70" s="33"/>
      <c r="J70" s="28" t="s">
        <v>10</v>
      </c>
      <c r="K70" s="28" t="str" cm="1">
        <f t="array" ref="K70">_xlfn.XLOOKUP(C70,_xlfn.ANCHORARRAY($M$2),$N$2:$N$9)</f>
        <v>Laptop</v>
      </c>
      <c r="L70" s="33"/>
      <c r="M70" s="33"/>
      <c r="N70" s="33"/>
      <c r="O70" s="33"/>
    </row>
    <row r="71" spans="1:15">
      <c r="A71" s="3">
        <v>45672</v>
      </c>
      <c r="B71" t="s">
        <v>169</v>
      </c>
      <c r="C71" t="s">
        <v>15</v>
      </c>
      <c r="D71" t="s">
        <v>11</v>
      </c>
      <c r="E71" t="s">
        <v>46</v>
      </c>
      <c r="F71" s="4">
        <v>17</v>
      </c>
      <c r="G71" s="4">
        <v>25000</v>
      </c>
      <c r="H71" s="4">
        <v>425000</v>
      </c>
      <c r="I71" s="33"/>
      <c r="J71" s="28" t="s">
        <v>15</v>
      </c>
      <c r="K71" s="28" t="str" cm="1">
        <f t="array" ref="K71">_xlfn.XLOOKUP(C71,_xlfn.ANCHORARRAY($M$2),$N$2:$N$9)</f>
        <v>Accessories</v>
      </c>
      <c r="L71" s="33"/>
      <c r="M71" s="33"/>
      <c r="N71" s="33"/>
      <c r="O71" s="33"/>
    </row>
    <row r="72" spans="1:15">
      <c r="A72" s="3">
        <v>45692</v>
      </c>
      <c r="B72" t="s">
        <v>171</v>
      </c>
      <c r="C72" t="s">
        <v>23</v>
      </c>
      <c r="D72" t="s">
        <v>11</v>
      </c>
      <c r="E72" t="s">
        <v>61</v>
      </c>
      <c r="F72" s="4">
        <v>8</v>
      </c>
      <c r="G72" s="4">
        <v>25000</v>
      </c>
      <c r="H72" s="4">
        <v>200000</v>
      </c>
      <c r="I72" s="33"/>
      <c r="J72" s="28" t="s">
        <v>23</v>
      </c>
      <c r="K72" s="28" t="str" cm="1">
        <f t="array" ref="K72">_xlfn.XLOOKUP(C72,_xlfn.ANCHORARRAY($M$2),$N$2:$N$9)</f>
        <v>Mobile</v>
      </c>
      <c r="L72" s="33"/>
      <c r="M72" s="33"/>
      <c r="N72" s="33"/>
      <c r="O72" s="33"/>
    </row>
    <row r="73" spans="1:15">
      <c r="A73" s="3">
        <v>45765</v>
      </c>
      <c r="B73" t="s">
        <v>173</v>
      </c>
      <c r="C73" t="s">
        <v>10</v>
      </c>
      <c r="D73" t="s">
        <v>11</v>
      </c>
      <c r="E73" t="s">
        <v>61</v>
      </c>
      <c r="F73" s="4">
        <v>2</v>
      </c>
      <c r="G73" s="4">
        <v>50000</v>
      </c>
      <c r="H73" s="4">
        <v>100000</v>
      </c>
      <c r="I73" s="33"/>
      <c r="J73" s="28" t="s">
        <v>10</v>
      </c>
      <c r="K73" s="28" t="str" cm="1">
        <f t="array" ref="K73">_xlfn.XLOOKUP(C73,_xlfn.ANCHORARRAY($M$2),$N$2:$N$9)</f>
        <v>Laptop</v>
      </c>
      <c r="L73" s="33"/>
      <c r="M73" s="33"/>
      <c r="N73" s="33"/>
      <c r="O73" s="33"/>
    </row>
    <row r="74" spans="1:15">
      <c r="A74" s="3">
        <v>45684</v>
      </c>
      <c r="B74" t="s">
        <v>175</v>
      </c>
      <c r="C74" t="s">
        <v>19</v>
      </c>
      <c r="D74" t="s">
        <v>11</v>
      </c>
      <c r="E74" t="s">
        <v>20</v>
      </c>
      <c r="F74" s="4">
        <v>40</v>
      </c>
      <c r="G74" s="4">
        <v>1200</v>
      </c>
      <c r="H74" s="4">
        <v>48000</v>
      </c>
      <c r="I74" s="33"/>
      <c r="J74" s="28" t="s">
        <v>19</v>
      </c>
      <c r="K74" s="28" t="str" cm="1">
        <f t="array" ref="K74">_xlfn.XLOOKUP(C74,_xlfn.ANCHORARRAY($M$2),$N$2:$N$9)</f>
        <v>Tablet</v>
      </c>
      <c r="L74" s="33"/>
      <c r="M74" s="33"/>
      <c r="N74" s="33"/>
      <c r="O74" s="33"/>
    </row>
    <row r="75" spans="1:15">
      <c r="A75" s="3">
        <v>45783</v>
      </c>
      <c r="B75" t="s">
        <v>178</v>
      </c>
      <c r="C75" t="s">
        <v>10</v>
      </c>
      <c r="D75" t="s">
        <v>51</v>
      </c>
      <c r="E75" t="s">
        <v>72</v>
      </c>
      <c r="F75" s="4">
        <v>34</v>
      </c>
      <c r="G75" s="4">
        <v>800</v>
      </c>
      <c r="H75" s="4">
        <v>27200</v>
      </c>
      <c r="I75" s="33"/>
      <c r="J75" s="28" t="s">
        <v>10</v>
      </c>
      <c r="K75" s="28" t="str" cm="1">
        <f t="array" ref="K75">_xlfn.XLOOKUP(C75,_xlfn.ANCHORARRAY($M$2),$N$2:$N$9)</f>
        <v>Laptop</v>
      </c>
      <c r="L75" s="33"/>
      <c r="M75" s="33"/>
      <c r="N75" s="33"/>
      <c r="O75" s="33"/>
    </row>
    <row r="76" spans="1:15">
      <c r="A76" s="3">
        <v>45701</v>
      </c>
      <c r="B76" t="s">
        <v>180</v>
      </c>
      <c r="C76" t="s">
        <v>23</v>
      </c>
      <c r="D76" t="s">
        <v>29</v>
      </c>
      <c r="E76" t="s">
        <v>38</v>
      </c>
      <c r="F76" s="4">
        <v>33</v>
      </c>
      <c r="G76" s="4">
        <v>25000</v>
      </c>
      <c r="H76" s="4">
        <v>825000</v>
      </c>
      <c r="I76" s="33"/>
      <c r="J76" s="28" t="s">
        <v>23</v>
      </c>
      <c r="K76" s="28" t="str" cm="1">
        <f t="array" ref="K76">_xlfn.XLOOKUP(C76,_xlfn.ANCHORARRAY($M$2),$N$2:$N$9)</f>
        <v>Mobile</v>
      </c>
      <c r="L76" s="33"/>
      <c r="M76" s="33"/>
      <c r="N76" s="33"/>
      <c r="O76" s="33"/>
    </row>
    <row r="77" spans="1:15">
      <c r="A77" s="3">
        <v>45788</v>
      </c>
      <c r="B77" t="s">
        <v>182</v>
      </c>
      <c r="C77" t="s">
        <v>15</v>
      </c>
      <c r="D77" t="s">
        <v>24</v>
      </c>
      <c r="E77" t="s">
        <v>12</v>
      </c>
      <c r="F77" s="4">
        <v>34</v>
      </c>
      <c r="G77" s="4">
        <v>1200</v>
      </c>
      <c r="H77" s="4">
        <v>40800</v>
      </c>
      <c r="I77" s="33"/>
      <c r="J77" s="28" t="s">
        <v>15</v>
      </c>
      <c r="K77" s="28" t="str" cm="1">
        <f t="array" ref="K77">_xlfn.XLOOKUP(C77,_xlfn.ANCHORARRAY($M$2),$N$2:$N$9)</f>
        <v>Accessories</v>
      </c>
      <c r="L77" s="33"/>
      <c r="M77" s="33"/>
      <c r="N77" s="33"/>
      <c r="O77" s="33"/>
    </row>
    <row r="78" spans="1:15">
      <c r="A78" s="3">
        <v>45788</v>
      </c>
      <c r="B78" t="s">
        <v>184</v>
      </c>
      <c r="C78" t="s">
        <v>15</v>
      </c>
      <c r="D78" t="s">
        <v>29</v>
      </c>
      <c r="E78" t="s">
        <v>38</v>
      </c>
      <c r="F78" s="4">
        <v>6</v>
      </c>
      <c r="G78" s="4">
        <v>25000</v>
      </c>
      <c r="H78" s="4">
        <v>150000</v>
      </c>
      <c r="I78" s="33"/>
      <c r="J78" s="28" t="s">
        <v>15</v>
      </c>
      <c r="K78" s="28" t="str" cm="1">
        <f t="array" ref="K78">_xlfn.XLOOKUP(C78,_xlfn.ANCHORARRAY($M$2),$N$2:$N$9)</f>
        <v>Accessories</v>
      </c>
      <c r="L78" s="33"/>
      <c r="M78" s="33"/>
      <c r="N78" s="33"/>
      <c r="O78" s="33"/>
    </row>
    <row r="79" spans="1:15">
      <c r="A79" s="3">
        <v>45667</v>
      </c>
      <c r="B79" t="s">
        <v>186</v>
      </c>
      <c r="C79" t="s">
        <v>15</v>
      </c>
      <c r="D79" t="s">
        <v>29</v>
      </c>
      <c r="E79" t="s">
        <v>33</v>
      </c>
      <c r="F79" s="4">
        <v>5</v>
      </c>
      <c r="G79" s="4">
        <v>15000</v>
      </c>
      <c r="H79" s="4">
        <v>75000</v>
      </c>
      <c r="I79" s="33"/>
      <c r="J79" s="28" t="s">
        <v>15</v>
      </c>
      <c r="K79" s="28" t="str" cm="1">
        <f t="array" ref="K79">_xlfn.XLOOKUP(C79,_xlfn.ANCHORARRAY($M$2),$N$2:$N$9)</f>
        <v>Accessories</v>
      </c>
      <c r="L79" s="33"/>
      <c r="M79" s="33"/>
      <c r="N79" s="33"/>
      <c r="O79" s="33"/>
    </row>
    <row r="80" spans="1:15">
      <c r="A80" s="3">
        <v>45708</v>
      </c>
      <c r="B80" t="s">
        <v>188</v>
      </c>
      <c r="C80" t="s">
        <v>23</v>
      </c>
      <c r="D80" t="s">
        <v>11</v>
      </c>
      <c r="E80" t="s">
        <v>61</v>
      </c>
      <c r="F80" s="4">
        <v>23</v>
      </c>
      <c r="G80" s="4">
        <v>800</v>
      </c>
      <c r="H80" s="4">
        <v>18400</v>
      </c>
      <c r="I80" s="33"/>
      <c r="J80" s="28" t="s">
        <v>23</v>
      </c>
      <c r="K80" s="28" t="str" cm="1">
        <f t="array" ref="K80">_xlfn.XLOOKUP(C80,_xlfn.ANCHORARRAY($M$2),$N$2:$N$9)</f>
        <v>Mobile</v>
      </c>
      <c r="L80" s="33"/>
      <c r="M80" s="33"/>
      <c r="N80" s="33"/>
      <c r="O80" s="33"/>
    </row>
    <row r="81" spans="1:15">
      <c r="A81" s="3">
        <v>45901</v>
      </c>
      <c r="B81" t="s">
        <v>190</v>
      </c>
      <c r="C81" t="s">
        <v>15</v>
      </c>
      <c r="D81" t="s">
        <v>29</v>
      </c>
      <c r="E81" t="s">
        <v>20</v>
      </c>
      <c r="F81" s="4">
        <v>49</v>
      </c>
      <c r="G81" s="4">
        <v>50000</v>
      </c>
      <c r="H81" s="4">
        <v>2450000</v>
      </c>
      <c r="I81" s="33"/>
      <c r="J81" s="28" t="s">
        <v>15</v>
      </c>
      <c r="K81" s="28" t="str" cm="1">
        <f t="array" ref="K81">_xlfn.XLOOKUP(C81,_xlfn.ANCHORARRAY($M$2),$N$2:$N$9)</f>
        <v>Accessories</v>
      </c>
      <c r="L81" s="33"/>
      <c r="M81" s="33"/>
      <c r="N81" s="33"/>
      <c r="O81" s="33"/>
    </row>
    <row r="82" spans="1:15">
      <c r="A82" s="3">
        <v>45670</v>
      </c>
      <c r="B82" t="s">
        <v>192</v>
      </c>
      <c r="C82" t="s">
        <v>23</v>
      </c>
      <c r="D82" t="s">
        <v>24</v>
      </c>
      <c r="E82" t="s">
        <v>38</v>
      </c>
      <c r="F82" s="4">
        <v>47</v>
      </c>
      <c r="G82" s="4">
        <v>1200</v>
      </c>
      <c r="H82" s="4">
        <v>56400</v>
      </c>
      <c r="I82" s="33"/>
      <c r="J82" s="28" t="s">
        <v>23</v>
      </c>
      <c r="K82" s="28" t="str" cm="1">
        <f t="array" ref="K82">_xlfn.XLOOKUP(C82,_xlfn.ANCHORARRAY($M$2),$N$2:$N$9)</f>
        <v>Mobile</v>
      </c>
      <c r="L82" s="33"/>
      <c r="M82" s="33"/>
      <c r="N82" s="33"/>
      <c r="O82" s="33"/>
    </row>
    <row r="83" spans="1:15">
      <c r="A83" s="3">
        <v>45708</v>
      </c>
      <c r="B83" t="s">
        <v>193</v>
      </c>
      <c r="C83" t="s">
        <v>23</v>
      </c>
      <c r="D83" t="s">
        <v>29</v>
      </c>
      <c r="E83" t="s">
        <v>16</v>
      </c>
      <c r="F83" s="4">
        <v>25</v>
      </c>
      <c r="G83" s="4">
        <v>15000</v>
      </c>
      <c r="H83" s="4">
        <v>375000</v>
      </c>
      <c r="I83" s="33"/>
      <c r="J83" s="28" t="s">
        <v>23</v>
      </c>
      <c r="K83" s="28" t="str" cm="1">
        <f t="array" ref="K83">_xlfn.XLOOKUP(C83,_xlfn.ANCHORARRAY($M$2),$N$2:$N$9)</f>
        <v>Mobile</v>
      </c>
      <c r="L83" s="33"/>
      <c r="M83" s="33"/>
      <c r="N83" s="33"/>
      <c r="O83" s="33"/>
    </row>
    <row r="84" spans="1:15">
      <c r="A84" s="3">
        <v>45742</v>
      </c>
      <c r="B84" t="s">
        <v>195</v>
      </c>
      <c r="C84" t="s">
        <v>10</v>
      </c>
      <c r="D84" t="s">
        <v>29</v>
      </c>
      <c r="E84" t="s">
        <v>20</v>
      </c>
      <c r="F84" s="4">
        <v>41</v>
      </c>
      <c r="G84" s="4">
        <v>50000</v>
      </c>
      <c r="H84" s="4">
        <v>2050000</v>
      </c>
      <c r="I84" s="33"/>
      <c r="J84" s="28" t="s">
        <v>10</v>
      </c>
      <c r="K84" s="28" t="str" cm="1">
        <f t="array" ref="K84">_xlfn.XLOOKUP(C84,_xlfn.ANCHORARRAY($M$2),$N$2:$N$9)</f>
        <v>Laptop</v>
      </c>
      <c r="L84" s="33"/>
      <c r="M84" s="33"/>
      <c r="N84" s="33"/>
      <c r="O84" s="33"/>
    </row>
    <row r="85" spans="1:15">
      <c r="A85" s="3">
        <v>45659</v>
      </c>
      <c r="B85" t="s">
        <v>197</v>
      </c>
      <c r="C85" t="s">
        <v>10</v>
      </c>
      <c r="D85" t="s">
        <v>11</v>
      </c>
      <c r="E85" t="s">
        <v>16</v>
      </c>
      <c r="F85" s="4">
        <v>40</v>
      </c>
      <c r="G85" s="4">
        <v>1200</v>
      </c>
      <c r="H85" s="4">
        <v>48000</v>
      </c>
      <c r="I85" s="33"/>
      <c r="J85" s="28" t="s">
        <v>10</v>
      </c>
      <c r="K85" s="28" t="str" cm="1">
        <f t="array" ref="K85">_xlfn.XLOOKUP(C85,_xlfn.ANCHORARRAY($M$2),$N$2:$N$9)</f>
        <v>Laptop</v>
      </c>
      <c r="L85" s="33"/>
      <c r="M85" s="33"/>
      <c r="N85" s="33"/>
      <c r="O85" s="33"/>
    </row>
    <row r="86" spans="1:15">
      <c r="A86" s="3">
        <v>45936</v>
      </c>
      <c r="B86" t="s">
        <v>199</v>
      </c>
      <c r="C86" t="s">
        <v>10</v>
      </c>
      <c r="D86" t="s">
        <v>24</v>
      </c>
      <c r="E86" t="s">
        <v>33</v>
      </c>
      <c r="F86" s="4">
        <v>19</v>
      </c>
      <c r="G86" s="4">
        <v>1200</v>
      </c>
      <c r="H86" s="4">
        <v>22800</v>
      </c>
      <c r="I86" s="33"/>
      <c r="J86" s="28" t="s">
        <v>10</v>
      </c>
      <c r="K86" s="28" t="str" cm="1">
        <f t="array" ref="K86">_xlfn.XLOOKUP(C86,_xlfn.ANCHORARRAY($M$2),$N$2:$N$9)</f>
        <v>Laptop</v>
      </c>
      <c r="L86" s="33"/>
      <c r="M86" s="33"/>
      <c r="N86" s="33"/>
      <c r="O86" s="33"/>
    </row>
    <row r="87" spans="1:15">
      <c r="A87" s="3">
        <v>45667</v>
      </c>
      <c r="B87" t="s">
        <v>200</v>
      </c>
      <c r="C87" t="s">
        <v>15</v>
      </c>
      <c r="D87" t="s">
        <v>51</v>
      </c>
      <c r="E87" t="s">
        <v>72</v>
      </c>
      <c r="F87" s="4">
        <v>26</v>
      </c>
      <c r="G87" s="4">
        <v>50000</v>
      </c>
      <c r="H87" s="4">
        <v>1300000</v>
      </c>
      <c r="I87" s="33"/>
      <c r="J87" s="28" t="s">
        <v>15</v>
      </c>
      <c r="K87" s="28" t="str" cm="1">
        <f t="array" ref="K87">_xlfn.XLOOKUP(C87,_xlfn.ANCHORARRAY($M$2),$N$2:$N$9)</f>
        <v>Accessories</v>
      </c>
      <c r="L87" s="33"/>
      <c r="M87" s="33"/>
      <c r="N87" s="33"/>
      <c r="O87" s="33"/>
    </row>
    <row r="88" spans="1:15">
      <c r="A88" s="3">
        <v>45662</v>
      </c>
      <c r="B88" t="s">
        <v>202</v>
      </c>
      <c r="C88" t="s">
        <v>10</v>
      </c>
      <c r="D88" t="s">
        <v>11</v>
      </c>
      <c r="E88" t="s">
        <v>30</v>
      </c>
      <c r="F88" s="4">
        <v>1</v>
      </c>
      <c r="G88" s="4">
        <v>50000</v>
      </c>
      <c r="H88" s="4">
        <v>50000</v>
      </c>
      <c r="I88" s="33"/>
      <c r="J88" s="28" t="s">
        <v>10</v>
      </c>
      <c r="K88" s="28" t="str" cm="1">
        <f t="array" ref="K88">_xlfn.XLOOKUP(C88,_xlfn.ANCHORARRAY($M$2),$N$2:$N$9)</f>
        <v>Laptop</v>
      </c>
      <c r="L88" s="33"/>
      <c r="M88" s="33"/>
      <c r="N88" s="33"/>
      <c r="O88" s="33"/>
    </row>
    <row r="89" spans="1:15">
      <c r="A89" s="3">
        <v>45827</v>
      </c>
      <c r="B89" t="s">
        <v>204</v>
      </c>
      <c r="C89" t="s">
        <v>143</v>
      </c>
      <c r="D89" t="s">
        <v>11</v>
      </c>
      <c r="E89" t="s">
        <v>25</v>
      </c>
      <c r="F89" s="4">
        <v>43</v>
      </c>
      <c r="G89" s="4">
        <v>800</v>
      </c>
      <c r="H89" s="4">
        <v>34400</v>
      </c>
      <c r="I89" s="33"/>
      <c r="J89" s="28" t="s">
        <v>143</v>
      </c>
      <c r="K89" s="28" t="str" cm="1">
        <f t="array" ref="K89">_xlfn.XLOOKUP(C89,_xlfn.ANCHORARRAY($M$2),$N$2:$N$9)</f>
        <v>Laptop</v>
      </c>
      <c r="L89" s="33"/>
      <c r="M89" s="33"/>
      <c r="N89" s="33"/>
      <c r="O89" s="33"/>
    </row>
    <row r="90" spans="1:15">
      <c r="A90" s="3">
        <v>45835</v>
      </c>
      <c r="B90" t="s">
        <v>206</v>
      </c>
      <c r="C90" t="s">
        <v>143</v>
      </c>
      <c r="D90" t="s">
        <v>11</v>
      </c>
      <c r="E90" t="s">
        <v>72</v>
      </c>
      <c r="F90" s="4">
        <v>6</v>
      </c>
      <c r="G90" s="4">
        <v>800</v>
      </c>
      <c r="H90" s="4">
        <v>4800</v>
      </c>
      <c r="I90" s="33"/>
      <c r="J90" s="28" t="s">
        <v>143</v>
      </c>
      <c r="K90" s="28" t="str" cm="1">
        <f t="array" ref="K90">_xlfn.XLOOKUP(C90,_xlfn.ANCHORARRAY($M$2),$N$2:$N$9)</f>
        <v>Laptop</v>
      </c>
      <c r="L90" s="33"/>
      <c r="M90" s="33"/>
      <c r="N90" s="33"/>
      <c r="O90" s="33"/>
    </row>
    <row r="91" spans="1:15">
      <c r="A91" s="3">
        <v>45723</v>
      </c>
      <c r="B91" t="s">
        <v>208</v>
      </c>
      <c r="C91" t="s">
        <v>260</v>
      </c>
      <c r="D91" t="s">
        <v>29</v>
      </c>
      <c r="E91" t="s">
        <v>61</v>
      </c>
      <c r="F91" s="4">
        <v>9</v>
      </c>
      <c r="G91" s="4">
        <v>50000</v>
      </c>
      <c r="H91" s="4">
        <v>450000</v>
      </c>
      <c r="I91" s="33"/>
      <c r="J91" s="28" t="s">
        <v>260</v>
      </c>
      <c r="K91" s="28" t="str" cm="1">
        <f t="array" ref="K91">_xlfn.XLOOKUP(C91,_xlfn.ANCHORARRAY($M$2),$N$2:$N$9)</f>
        <v>Accessories</v>
      </c>
      <c r="L91" s="33"/>
      <c r="M91" s="33"/>
      <c r="N91" s="33"/>
      <c r="O91" s="33"/>
    </row>
    <row r="92" spans="1:15">
      <c r="A92" s="3">
        <v>45760</v>
      </c>
      <c r="B92" t="s">
        <v>211</v>
      </c>
      <c r="C92" t="s">
        <v>19</v>
      </c>
      <c r="D92" t="s">
        <v>11</v>
      </c>
      <c r="E92" t="s">
        <v>46</v>
      </c>
      <c r="F92" s="4">
        <v>11</v>
      </c>
      <c r="G92" s="4">
        <v>800</v>
      </c>
      <c r="H92" s="4">
        <v>8800</v>
      </c>
      <c r="I92" s="33"/>
      <c r="J92" s="28" t="s">
        <v>19</v>
      </c>
      <c r="K92" s="28" t="str" cm="1">
        <f t="array" ref="K92">_xlfn.XLOOKUP(C92,_xlfn.ANCHORARRAY($M$2),$N$2:$N$9)</f>
        <v>Tablet</v>
      </c>
      <c r="L92" s="33"/>
      <c r="M92" s="33"/>
      <c r="N92" s="33"/>
      <c r="O92" s="33"/>
    </row>
    <row r="93" spans="1:15">
      <c r="A93" s="3">
        <v>45768</v>
      </c>
      <c r="B93" t="s">
        <v>212</v>
      </c>
      <c r="C93" t="s">
        <v>19</v>
      </c>
      <c r="D93" t="s">
        <v>24</v>
      </c>
      <c r="E93" t="s">
        <v>20</v>
      </c>
      <c r="F93" s="4">
        <v>46</v>
      </c>
      <c r="G93" s="4">
        <v>15000</v>
      </c>
      <c r="H93" s="4">
        <v>689245</v>
      </c>
      <c r="I93" s="33"/>
      <c r="J93" s="28" t="s">
        <v>19</v>
      </c>
      <c r="K93" s="28" t="str" cm="1">
        <f t="array" ref="K93">_xlfn.XLOOKUP(C93,_xlfn.ANCHORARRAY($M$2),$N$2:$N$9)</f>
        <v>Tablet</v>
      </c>
      <c r="L93" s="33"/>
      <c r="M93" s="33"/>
      <c r="N93" s="33"/>
      <c r="O93" s="33"/>
    </row>
    <row r="94" spans="1:15">
      <c r="A94" s="3">
        <v>45872</v>
      </c>
      <c r="B94" t="s">
        <v>214</v>
      </c>
      <c r="C94" t="s">
        <v>10</v>
      </c>
      <c r="D94" t="s">
        <v>51</v>
      </c>
      <c r="E94" t="s">
        <v>33</v>
      </c>
      <c r="F94" s="4">
        <v>12</v>
      </c>
      <c r="G94" s="4">
        <v>30000</v>
      </c>
      <c r="H94" s="4">
        <v>360000</v>
      </c>
      <c r="I94" s="33"/>
      <c r="J94" s="28" t="s">
        <v>10</v>
      </c>
      <c r="K94" s="28" t="str" cm="1">
        <f t="array" ref="K94">_xlfn.XLOOKUP(C94,_xlfn.ANCHORARRAY($M$2),$N$2:$N$9)</f>
        <v>Laptop</v>
      </c>
      <c r="L94" s="33"/>
      <c r="M94" s="33"/>
      <c r="N94" s="33"/>
      <c r="O94" s="33"/>
    </row>
    <row r="95" spans="1:15">
      <c r="A95" s="3">
        <v>45723</v>
      </c>
      <c r="B95" t="s">
        <v>215</v>
      </c>
      <c r="C95" t="s">
        <v>19</v>
      </c>
      <c r="D95" t="s">
        <v>51</v>
      </c>
      <c r="E95" t="s">
        <v>61</v>
      </c>
      <c r="F95" s="4">
        <v>10</v>
      </c>
      <c r="G95" s="4">
        <v>50000</v>
      </c>
      <c r="H95" s="4">
        <v>500000</v>
      </c>
      <c r="I95" s="33"/>
      <c r="J95" s="28" t="s">
        <v>19</v>
      </c>
      <c r="K95" s="28" t="str" cm="1">
        <f t="array" ref="K95">_xlfn.XLOOKUP(C95,_xlfn.ANCHORARRAY($M$2),$N$2:$N$9)</f>
        <v>Tablet</v>
      </c>
      <c r="L95" s="33"/>
      <c r="M95" s="33"/>
      <c r="N95" s="33"/>
      <c r="O95" s="33"/>
    </row>
    <row r="96" spans="1:15">
      <c r="A96" s="3">
        <v>45833</v>
      </c>
      <c r="B96" t="s">
        <v>217</v>
      </c>
      <c r="C96" t="s">
        <v>15</v>
      </c>
      <c r="D96" t="s">
        <v>24</v>
      </c>
      <c r="E96" t="s">
        <v>38</v>
      </c>
      <c r="F96" s="4">
        <v>42</v>
      </c>
      <c r="G96" s="4">
        <v>30000</v>
      </c>
      <c r="H96" s="4">
        <v>1260000</v>
      </c>
      <c r="I96" s="33"/>
      <c r="J96" s="28" t="s">
        <v>15</v>
      </c>
      <c r="K96" s="28" t="str" cm="1">
        <f t="array" ref="K96">_xlfn.XLOOKUP(C96,_xlfn.ANCHORARRAY($M$2),$N$2:$N$9)</f>
        <v>Accessories</v>
      </c>
      <c r="L96" s="33"/>
      <c r="M96" s="33"/>
      <c r="N96" s="33"/>
      <c r="O96" s="33"/>
    </row>
    <row r="97" spans="1:15">
      <c r="A97" s="3">
        <v>45816</v>
      </c>
      <c r="B97" t="s">
        <v>219</v>
      </c>
      <c r="C97" t="s">
        <v>15</v>
      </c>
      <c r="D97" t="s">
        <v>29</v>
      </c>
      <c r="E97" t="s">
        <v>33</v>
      </c>
      <c r="F97" s="4">
        <v>26</v>
      </c>
      <c r="G97" s="4">
        <v>50000</v>
      </c>
      <c r="H97" s="4">
        <v>1300000</v>
      </c>
      <c r="I97" s="33"/>
      <c r="J97" s="28" t="s">
        <v>15</v>
      </c>
      <c r="K97" s="28" t="str" cm="1">
        <f t="array" ref="K97">_xlfn.XLOOKUP(C97,_xlfn.ANCHORARRAY($M$2),$N$2:$N$9)</f>
        <v>Accessories</v>
      </c>
      <c r="L97" s="33"/>
      <c r="M97" s="33"/>
      <c r="N97" s="33"/>
      <c r="O97" s="33"/>
    </row>
    <row r="98" spans="1:15">
      <c r="A98" s="3">
        <v>45733</v>
      </c>
      <c r="B98" t="s">
        <v>221</v>
      </c>
      <c r="C98" t="s">
        <v>23</v>
      </c>
      <c r="D98" t="s">
        <v>24</v>
      </c>
      <c r="E98" t="s">
        <v>33</v>
      </c>
      <c r="F98" s="4">
        <v>38</v>
      </c>
      <c r="G98" s="4">
        <v>30000</v>
      </c>
      <c r="H98" s="4">
        <v>1140000</v>
      </c>
      <c r="I98" s="33"/>
      <c r="J98" s="28" t="s">
        <v>23</v>
      </c>
      <c r="K98" s="28" t="str" cm="1">
        <f t="array" ref="K98">_xlfn.XLOOKUP(C98,_xlfn.ANCHORARRAY($M$2),$N$2:$N$9)</f>
        <v>Mobile</v>
      </c>
      <c r="L98" s="33"/>
      <c r="M98" s="33"/>
      <c r="N98" s="33"/>
      <c r="O98" s="33"/>
    </row>
    <row r="99" spans="1:15">
      <c r="A99" s="3">
        <v>45994</v>
      </c>
      <c r="B99" t="s">
        <v>223</v>
      </c>
      <c r="C99" t="s">
        <v>19</v>
      </c>
      <c r="D99" t="s">
        <v>11</v>
      </c>
      <c r="E99" t="s">
        <v>20</v>
      </c>
      <c r="F99" s="4">
        <v>5</v>
      </c>
      <c r="G99" s="4">
        <v>1200</v>
      </c>
      <c r="H99" s="4">
        <v>6000</v>
      </c>
      <c r="I99" s="33"/>
      <c r="J99" s="28" t="s">
        <v>19</v>
      </c>
      <c r="K99" s="28" t="str" cm="1">
        <f t="array" ref="K99">_xlfn.XLOOKUP(C99,_xlfn.ANCHORARRAY($M$2),$N$2:$N$9)</f>
        <v>Tablet</v>
      </c>
      <c r="L99" s="33"/>
      <c r="M99" s="33"/>
      <c r="N99" s="33"/>
      <c r="O99" s="33"/>
    </row>
    <row r="100" spans="1:15">
      <c r="A100" s="3">
        <v>45759</v>
      </c>
      <c r="B100" t="s">
        <v>225</v>
      </c>
      <c r="C100" t="s">
        <v>15</v>
      </c>
      <c r="D100" t="s">
        <v>11</v>
      </c>
      <c r="E100" t="s">
        <v>20</v>
      </c>
      <c r="F100" s="4">
        <v>23</v>
      </c>
      <c r="G100" s="4">
        <v>50000</v>
      </c>
      <c r="H100" s="4">
        <v>1150000</v>
      </c>
      <c r="I100" s="33"/>
      <c r="J100" s="28" t="s">
        <v>15</v>
      </c>
      <c r="K100" s="28" t="str" cm="1">
        <f t="array" ref="K100">_xlfn.XLOOKUP(C100,_xlfn.ANCHORARRAY($M$2),$N$2:$N$9)</f>
        <v>Accessories</v>
      </c>
      <c r="L100" s="33"/>
      <c r="M100" s="33"/>
      <c r="N100" s="33"/>
      <c r="O100" s="33"/>
    </row>
    <row r="101" spans="1:15">
      <c r="A101" s="3">
        <v>45737</v>
      </c>
      <c r="B101" t="s">
        <v>227</v>
      </c>
      <c r="C101" t="s">
        <v>15</v>
      </c>
      <c r="D101" t="s">
        <v>11</v>
      </c>
      <c r="E101" t="s">
        <v>25</v>
      </c>
      <c r="F101" s="4">
        <v>21</v>
      </c>
      <c r="G101" s="4">
        <v>50000</v>
      </c>
      <c r="H101" s="4">
        <v>1050000</v>
      </c>
      <c r="I101" s="33"/>
      <c r="J101" s="28" t="s">
        <v>15</v>
      </c>
      <c r="K101" s="28" t="str" cm="1">
        <f t="array" ref="K101">_xlfn.XLOOKUP(C101,_xlfn.ANCHORARRAY($M$2),$N$2:$N$9)</f>
        <v>Accessories</v>
      </c>
      <c r="L101" s="33"/>
      <c r="M101" s="33"/>
      <c r="N101" s="33"/>
      <c r="O101" s="33"/>
    </row>
    <row r="102" spans="1:15">
      <c r="A102" s="3">
        <v>45901</v>
      </c>
      <c r="B102" t="s">
        <v>228</v>
      </c>
      <c r="C102" t="s">
        <v>23</v>
      </c>
      <c r="D102" t="s">
        <v>29</v>
      </c>
      <c r="E102" t="s">
        <v>30</v>
      </c>
      <c r="F102" s="4">
        <v>43</v>
      </c>
      <c r="G102" s="4">
        <v>15000</v>
      </c>
      <c r="H102" s="4">
        <v>644958</v>
      </c>
      <c r="I102" s="33"/>
      <c r="J102" s="28" t="s">
        <v>23</v>
      </c>
      <c r="K102" s="28" t="str" cm="1">
        <f t="array" ref="K102">_xlfn.XLOOKUP(C102,_xlfn.ANCHORARRAY($M$2),$N$2:$N$9)</f>
        <v>Mobile</v>
      </c>
      <c r="L102" s="33"/>
      <c r="M102" s="33"/>
      <c r="N102" s="33"/>
      <c r="O102" s="33"/>
    </row>
    <row r="103" spans="1:15">
      <c r="A103" s="3">
        <v>45744</v>
      </c>
      <c r="B103" t="s">
        <v>230</v>
      </c>
      <c r="C103" t="s">
        <v>19</v>
      </c>
      <c r="D103" t="s">
        <v>11</v>
      </c>
      <c r="E103" t="s">
        <v>38</v>
      </c>
      <c r="F103" s="4">
        <v>28</v>
      </c>
      <c r="G103" s="4">
        <v>800</v>
      </c>
      <c r="H103" s="4">
        <v>22400</v>
      </c>
      <c r="I103" s="33"/>
      <c r="J103" s="28" t="s">
        <v>19</v>
      </c>
      <c r="K103" s="28" t="str" cm="1">
        <f t="array" ref="K103">_xlfn.XLOOKUP(C103,_xlfn.ANCHORARRAY($M$2),$N$2:$N$9)</f>
        <v>Tablet</v>
      </c>
      <c r="L103" s="33"/>
      <c r="M103" s="33"/>
      <c r="N103" s="33"/>
      <c r="O103" s="33"/>
    </row>
    <row r="104" spans="1:15">
      <c r="A104" s="3">
        <v>45710</v>
      </c>
      <c r="B104" t="s">
        <v>232</v>
      </c>
      <c r="C104" t="s">
        <v>15</v>
      </c>
      <c r="D104" t="s">
        <v>51</v>
      </c>
      <c r="E104" t="s">
        <v>33</v>
      </c>
      <c r="F104" s="4">
        <v>50</v>
      </c>
      <c r="G104" s="4">
        <v>1200</v>
      </c>
      <c r="H104" s="4">
        <v>60000</v>
      </c>
      <c r="I104" s="33"/>
      <c r="J104" s="28" t="s">
        <v>15</v>
      </c>
      <c r="K104" s="28" t="str" cm="1">
        <f t="array" ref="K104">_xlfn.XLOOKUP(C104,_xlfn.ANCHORARRAY($M$2),$N$2:$N$9)</f>
        <v>Accessories</v>
      </c>
      <c r="L104" s="33"/>
      <c r="M104" s="33"/>
      <c r="N104" s="33"/>
      <c r="O104" s="33"/>
    </row>
    <row r="105" spans="1:15">
      <c r="A105" s="3">
        <v>45756</v>
      </c>
      <c r="B105" t="s">
        <v>234</v>
      </c>
      <c r="C105" t="s">
        <v>10</v>
      </c>
      <c r="D105" t="s">
        <v>51</v>
      </c>
      <c r="E105" t="s">
        <v>33</v>
      </c>
      <c r="F105" s="4">
        <v>27</v>
      </c>
      <c r="G105" s="4">
        <v>30000</v>
      </c>
      <c r="H105" s="4">
        <v>810000</v>
      </c>
      <c r="I105" s="33"/>
      <c r="J105" s="28" t="s">
        <v>10</v>
      </c>
      <c r="K105" s="28" t="str" cm="1">
        <f t="array" ref="K105">_xlfn.XLOOKUP(C105,_xlfn.ANCHORARRAY($M$2),$N$2:$N$9)</f>
        <v>Laptop</v>
      </c>
      <c r="L105" s="33"/>
      <c r="M105" s="33"/>
      <c r="N105" s="33"/>
      <c r="O105" s="33"/>
    </row>
    <row r="106" spans="1:15">
      <c r="A106" s="3">
        <v>45829</v>
      </c>
      <c r="B106" t="s">
        <v>236</v>
      </c>
      <c r="C106" t="s">
        <v>10</v>
      </c>
      <c r="D106" t="s">
        <v>51</v>
      </c>
      <c r="E106" t="s">
        <v>25</v>
      </c>
      <c r="F106" s="4">
        <v>29</v>
      </c>
      <c r="G106" s="4">
        <v>1200</v>
      </c>
      <c r="H106" s="4">
        <v>34800</v>
      </c>
      <c r="I106" s="33"/>
      <c r="J106" s="28" t="s">
        <v>10</v>
      </c>
      <c r="K106" s="28" t="str" cm="1">
        <f t="array" ref="K106">_xlfn.XLOOKUP(C106,_xlfn.ANCHORARRAY($M$2),$N$2:$N$9)</f>
        <v>Laptop</v>
      </c>
      <c r="L106" s="33"/>
      <c r="M106" s="33"/>
      <c r="N106" s="33"/>
      <c r="O106" s="33"/>
    </row>
    <row r="107" spans="1:15">
      <c r="A107" s="3">
        <v>45743</v>
      </c>
      <c r="B107" t="s">
        <v>238</v>
      </c>
      <c r="C107" t="s">
        <v>116</v>
      </c>
      <c r="D107" t="s">
        <v>24</v>
      </c>
      <c r="E107" t="s">
        <v>38</v>
      </c>
      <c r="F107" s="4">
        <v>38</v>
      </c>
      <c r="G107" s="4">
        <v>30000</v>
      </c>
      <c r="H107" s="4">
        <v>1140000</v>
      </c>
      <c r="I107" s="33"/>
      <c r="J107" s="28" t="s">
        <v>116</v>
      </c>
      <c r="K107" s="28" t="str" cm="1">
        <f t="array" ref="K107">_xlfn.XLOOKUP(C107,_xlfn.ANCHORARRAY($M$2),$N$2:$N$9)</f>
        <v>Mobile</v>
      </c>
      <c r="L107" s="33"/>
      <c r="M107" s="33"/>
      <c r="N107" s="33"/>
      <c r="O107" s="33"/>
    </row>
    <row r="108" spans="1:15">
      <c r="A108" s="3">
        <v>45670</v>
      </c>
      <c r="B108" t="s">
        <v>240</v>
      </c>
      <c r="C108" t="s">
        <v>10</v>
      </c>
      <c r="D108" t="s">
        <v>29</v>
      </c>
      <c r="E108" t="s">
        <v>61</v>
      </c>
      <c r="F108" s="4">
        <v>23</v>
      </c>
      <c r="G108" s="4">
        <v>50000</v>
      </c>
      <c r="H108" s="4">
        <v>1150000</v>
      </c>
      <c r="I108" s="33"/>
      <c r="J108" s="28" t="s">
        <v>10</v>
      </c>
      <c r="K108" s="28" t="str" cm="1">
        <f t="array" ref="K108">_xlfn.XLOOKUP(C108,_xlfn.ANCHORARRAY($M$2),$N$2:$N$9)</f>
        <v>Laptop</v>
      </c>
      <c r="L108" s="33"/>
      <c r="M108" s="33"/>
      <c r="N108" s="33"/>
      <c r="O108" s="33"/>
    </row>
    <row r="109" spans="1:15">
      <c r="A109" s="3">
        <v>45963</v>
      </c>
      <c r="B109" t="s">
        <v>242</v>
      </c>
      <c r="C109" t="s">
        <v>19</v>
      </c>
      <c r="D109" t="s">
        <v>11</v>
      </c>
      <c r="E109" t="s">
        <v>38</v>
      </c>
      <c r="F109" s="4">
        <v>13</v>
      </c>
      <c r="G109" s="4">
        <v>50000</v>
      </c>
      <c r="H109" s="4">
        <v>650000</v>
      </c>
      <c r="I109" s="33"/>
      <c r="J109" s="28" t="s">
        <v>19</v>
      </c>
      <c r="K109" s="28" t="str" cm="1">
        <f t="array" ref="K109">_xlfn.XLOOKUP(C109,_xlfn.ANCHORARRAY($M$2),$N$2:$N$9)</f>
        <v>Tablet</v>
      </c>
      <c r="L109" s="33"/>
      <c r="M109" s="33"/>
      <c r="N109" s="33"/>
      <c r="O109" s="33"/>
    </row>
    <row r="110" spans="1:15">
      <c r="A110" s="3">
        <v>45674</v>
      </c>
      <c r="B110" t="s">
        <v>244</v>
      </c>
      <c r="C110" t="s">
        <v>15</v>
      </c>
      <c r="D110" t="s">
        <v>11</v>
      </c>
      <c r="E110" t="s">
        <v>12</v>
      </c>
      <c r="F110" s="4">
        <v>26</v>
      </c>
      <c r="G110" s="4">
        <v>50000</v>
      </c>
      <c r="H110" s="4">
        <v>1300000</v>
      </c>
      <c r="I110" s="33"/>
      <c r="J110" s="28" t="s">
        <v>15</v>
      </c>
      <c r="K110" s="28" t="str" cm="1">
        <f t="array" ref="K110">_xlfn.XLOOKUP(C110,_xlfn.ANCHORARRAY($M$2),$N$2:$N$9)</f>
        <v>Accessories</v>
      </c>
      <c r="L110" s="33"/>
      <c r="M110" s="33"/>
      <c r="N110" s="33"/>
      <c r="O110" s="33"/>
    </row>
    <row r="111" spans="1:15">
      <c r="A111" s="3">
        <v>45761</v>
      </c>
      <c r="B111" t="s">
        <v>246</v>
      </c>
      <c r="C111" t="s">
        <v>15</v>
      </c>
      <c r="D111" t="s">
        <v>24</v>
      </c>
      <c r="E111" t="s">
        <v>30</v>
      </c>
      <c r="F111" s="4">
        <v>11</v>
      </c>
      <c r="G111" s="4">
        <v>50000</v>
      </c>
      <c r="H111" s="4">
        <v>550000</v>
      </c>
      <c r="I111" s="33"/>
      <c r="J111" s="28" t="s">
        <v>15</v>
      </c>
      <c r="K111" s="28" t="str" cm="1">
        <f t="array" ref="K111">_xlfn.XLOOKUP(C111,_xlfn.ANCHORARRAY($M$2),$N$2:$N$9)</f>
        <v>Accessories</v>
      </c>
      <c r="L111" s="33"/>
      <c r="M111" s="33"/>
      <c r="N111" s="33"/>
      <c r="O111" s="33"/>
    </row>
    <row r="112" spans="1:15">
      <c r="A112" s="3">
        <v>45691</v>
      </c>
      <c r="B112" t="s">
        <v>248</v>
      </c>
      <c r="C112" t="s">
        <v>19</v>
      </c>
      <c r="D112" t="s">
        <v>11</v>
      </c>
      <c r="E112" t="s">
        <v>72</v>
      </c>
      <c r="F112" s="4">
        <v>21</v>
      </c>
      <c r="G112" s="4">
        <v>800</v>
      </c>
      <c r="H112" s="4">
        <v>16800</v>
      </c>
      <c r="I112" s="33"/>
      <c r="J112" s="28" t="s">
        <v>19</v>
      </c>
      <c r="K112" s="28" t="str" cm="1">
        <f t="array" ref="K112">_xlfn.XLOOKUP(C112,_xlfn.ANCHORARRAY($M$2),$N$2:$N$9)</f>
        <v>Tablet</v>
      </c>
      <c r="L112" s="33"/>
      <c r="M112" s="33"/>
      <c r="N112" s="33"/>
      <c r="O112" s="33"/>
    </row>
    <row r="113" spans="1:15">
      <c r="A113" s="3">
        <v>45773</v>
      </c>
      <c r="B113" t="s">
        <v>250</v>
      </c>
      <c r="C113" t="s">
        <v>10</v>
      </c>
      <c r="D113" t="s">
        <v>51</v>
      </c>
      <c r="E113" t="s">
        <v>25</v>
      </c>
      <c r="F113" s="4">
        <v>27</v>
      </c>
      <c r="G113" s="4">
        <v>15000</v>
      </c>
      <c r="H113" s="4">
        <v>404238</v>
      </c>
      <c r="I113" s="33"/>
      <c r="J113" s="28" t="s">
        <v>10</v>
      </c>
      <c r="K113" s="28" t="str" cm="1">
        <f t="array" ref="K113">_xlfn.XLOOKUP(C113,_xlfn.ANCHORARRAY($M$2),$N$2:$N$9)</f>
        <v>Laptop</v>
      </c>
      <c r="L113" s="33"/>
      <c r="M113" s="33"/>
      <c r="N113" s="33"/>
      <c r="O113" s="33"/>
    </row>
    <row r="114" spans="1:15">
      <c r="A114" s="3">
        <v>45668</v>
      </c>
      <c r="B114" t="s">
        <v>252</v>
      </c>
      <c r="C114" t="s">
        <v>10</v>
      </c>
      <c r="D114" t="s">
        <v>29</v>
      </c>
      <c r="E114" t="s">
        <v>38</v>
      </c>
      <c r="F114" s="4">
        <v>14</v>
      </c>
      <c r="G114" s="4">
        <v>25000</v>
      </c>
      <c r="H114" s="4">
        <v>350000</v>
      </c>
      <c r="I114" s="33"/>
      <c r="J114" s="28" t="s">
        <v>10</v>
      </c>
      <c r="K114" s="28" t="str" cm="1">
        <f t="array" ref="K114">_xlfn.XLOOKUP(C114,_xlfn.ANCHORARRAY($M$2),$N$2:$N$9)</f>
        <v>Laptop</v>
      </c>
      <c r="L114" s="33"/>
      <c r="M114" s="33"/>
      <c r="N114" s="33"/>
      <c r="O114" s="33"/>
    </row>
    <row r="115" spans="1:15">
      <c r="A115" s="3">
        <v>45701</v>
      </c>
      <c r="B115" t="s">
        <v>254</v>
      </c>
      <c r="C115" t="s">
        <v>15</v>
      </c>
      <c r="D115" t="s">
        <v>11</v>
      </c>
      <c r="E115" t="s">
        <v>30</v>
      </c>
      <c r="F115" s="4">
        <v>40</v>
      </c>
      <c r="G115" s="4">
        <v>50000</v>
      </c>
      <c r="H115" s="4">
        <v>2000000</v>
      </c>
      <c r="I115" s="33"/>
      <c r="J115" s="28" t="s">
        <v>15</v>
      </c>
      <c r="K115" s="28" t="str" cm="1">
        <f t="array" ref="K115">_xlfn.XLOOKUP(C115,_xlfn.ANCHORARRAY($M$2),$N$2:$N$9)</f>
        <v>Accessories</v>
      </c>
      <c r="L115" s="33"/>
      <c r="M115" s="33"/>
      <c r="N115" s="33"/>
      <c r="O115" s="33"/>
    </row>
    <row r="116" spans="1:15">
      <c r="A116" s="3">
        <v>45740</v>
      </c>
      <c r="B116" t="s">
        <v>256</v>
      </c>
      <c r="C116" t="s">
        <v>19</v>
      </c>
      <c r="D116" t="s">
        <v>24</v>
      </c>
      <c r="E116" t="s">
        <v>30</v>
      </c>
      <c r="F116" s="4">
        <v>13</v>
      </c>
      <c r="G116" s="4">
        <v>25000</v>
      </c>
      <c r="H116" s="4">
        <v>325000</v>
      </c>
      <c r="I116" s="33"/>
      <c r="J116" s="28" t="s">
        <v>19</v>
      </c>
      <c r="K116" s="28" t="str" cm="1">
        <f t="array" ref="K116">_xlfn.XLOOKUP(C116,_xlfn.ANCHORARRAY($M$2),$N$2:$N$9)</f>
        <v>Tablet</v>
      </c>
      <c r="L116" s="33"/>
      <c r="M116" s="33"/>
      <c r="N116" s="33"/>
      <c r="O116" s="33"/>
    </row>
    <row r="117" spans="1:15">
      <c r="A117" s="3">
        <v>45658</v>
      </c>
      <c r="B117" t="s">
        <v>258</v>
      </c>
      <c r="C117" t="s">
        <v>23</v>
      </c>
      <c r="D117" t="s">
        <v>11</v>
      </c>
      <c r="E117" t="s">
        <v>46</v>
      </c>
      <c r="F117" s="4">
        <v>1</v>
      </c>
      <c r="G117" s="4">
        <v>800</v>
      </c>
      <c r="H117" s="4">
        <v>800</v>
      </c>
      <c r="I117" s="33"/>
      <c r="J117" s="28" t="s">
        <v>23</v>
      </c>
      <c r="K117" s="28" t="str" cm="1">
        <f t="array" ref="K117">_xlfn.XLOOKUP(C117,_xlfn.ANCHORARRAY($M$2),$N$2:$N$9)</f>
        <v>Mobile</v>
      </c>
      <c r="L117" s="33"/>
      <c r="M117" s="33"/>
      <c r="N117" s="33"/>
      <c r="O117" s="33"/>
    </row>
    <row r="118" spans="1:15">
      <c r="A118" s="3">
        <v>45756</v>
      </c>
      <c r="B118" t="s">
        <v>259</v>
      </c>
      <c r="C118" t="s">
        <v>260</v>
      </c>
      <c r="D118" t="s">
        <v>24</v>
      </c>
      <c r="E118" t="s">
        <v>12</v>
      </c>
      <c r="F118" s="4">
        <v>14</v>
      </c>
      <c r="G118" s="4">
        <v>15000</v>
      </c>
      <c r="H118" s="4">
        <v>209202</v>
      </c>
      <c r="I118" s="33"/>
      <c r="J118" s="28" t="s">
        <v>260</v>
      </c>
      <c r="K118" s="28" t="str" cm="1">
        <f t="array" ref="K118">_xlfn.XLOOKUP(C118,_xlfn.ANCHORARRAY($M$2),$N$2:$N$9)</f>
        <v>Accessories</v>
      </c>
      <c r="L118" s="33"/>
      <c r="M118" s="33"/>
      <c r="N118" s="33"/>
      <c r="O118" s="33"/>
    </row>
    <row r="119" spans="1:15">
      <c r="A119" s="3">
        <v>45761</v>
      </c>
      <c r="B119" t="s">
        <v>261</v>
      </c>
      <c r="C119" t="s">
        <v>260</v>
      </c>
      <c r="D119" t="s">
        <v>51</v>
      </c>
      <c r="E119" t="s">
        <v>20</v>
      </c>
      <c r="F119" s="4">
        <v>24</v>
      </c>
      <c r="G119" s="4">
        <v>30000</v>
      </c>
      <c r="H119" s="4">
        <v>720000</v>
      </c>
      <c r="I119" s="33"/>
      <c r="J119" s="28" t="s">
        <v>260</v>
      </c>
      <c r="K119" s="28" t="str" cm="1">
        <f t="array" ref="K119">_xlfn.XLOOKUP(C119,_xlfn.ANCHORARRAY($M$2),$N$2:$N$9)</f>
        <v>Accessories</v>
      </c>
      <c r="L119" s="33"/>
      <c r="M119" s="33"/>
      <c r="N119" s="33"/>
      <c r="O119" s="33"/>
    </row>
    <row r="120" spans="1:15">
      <c r="A120" s="3">
        <v>45875</v>
      </c>
      <c r="B120" t="s">
        <v>262</v>
      </c>
      <c r="C120" t="s">
        <v>306</v>
      </c>
      <c r="D120" t="s">
        <v>29</v>
      </c>
      <c r="E120" t="s">
        <v>46</v>
      </c>
      <c r="F120" s="4">
        <v>42</v>
      </c>
      <c r="G120" s="4">
        <v>800</v>
      </c>
      <c r="H120" s="4">
        <v>33600</v>
      </c>
      <c r="I120" s="33"/>
      <c r="J120" s="28" t="s">
        <v>306</v>
      </c>
      <c r="K120" s="28" t="str" cm="1">
        <f t="array" ref="K120">_xlfn.XLOOKUP(C120,_xlfn.ANCHORARRAY($M$2),$N$2:$N$9)</f>
        <v>Tablet</v>
      </c>
      <c r="L120" s="33"/>
      <c r="M120" s="33"/>
      <c r="N120" s="33"/>
      <c r="O120" s="33"/>
    </row>
    <row r="121" spans="1:15">
      <c r="A121" s="3">
        <v>45832</v>
      </c>
      <c r="B121" t="s">
        <v>264</v>
      </c>
      <c r="C121" t="s">
        <v>23</v>
      </c>
      <c r="D121" t="s">
        <v>29</v>
      </c>
      <c r="E121" t="s">
        <v>38</v>
      </c>
      <c r="F121" s="4">
        <v>31</v>
      </c>
      <c r="G121" s="4">
        <v>30000</v>
      </c>
      <c r="H121" s="4">
        <v>930307</v>
      </c>
      <c r="I121" s="33"/>
      <c r="J121" s="28" t="s">
        <v>23</v>
      </c>
      <c r="K121" s="28" t="str" cm="1">
        <f t="array" ref="K121">_xlfn.XLOOKUP(C121,_xlfn.ANCHORARRAY($M$2),$N$2:$N$9)</f>
        <v>Mobile</v>
      </c>
      <c r="L121" s="33"/>
      <c r="M121" s="33"/>
      <c r="N121" s="33"/>
      <c r="O121" s="33"/>
    </row>
    <row r="122" spans="1:15">
      <c r="A122" s="3">
        <v>45687</v>
      </c>
      <c r="B122" t="s">
        <v>266</v>
      </c>
      <c r="C122" t="s">
        <v>15</v>
      </c>
      <c r="D122" t="s">
        <v>51</v>
      </c>
      <c r="E122" t="s">
        <v>16</v>
      </c>
      <c r="F122" s="4">
        <v>21</v>
      </c>
      <c r="G122" s="4">
        <v>15000</v>
      </c>
      <c r="H122" s="4">
        <v>315000</v>
      </c>
      <c r="I122" s="33"/>
      <c r="J122" s="28" t="s">
        <v>15</v>
      </c>
      <c r="K122" s="28" t="str" cm="1">
        <f t="array" ref="K122">_xlfn.XLOOKUP(C122,_xlfn.ANCHORARRAY($M$2),$N$2:$N$9)</f>
        <v>Accessories</v>
      </c>
      <c r="L122" s="33"/>
      <c r="M122" s="33"/>
      <c r="N122" s="33"/>
      <c r="O122" s="33"/>
    </row>
    <row r="123" spans="1:15">
      <c r="A123" s="3">
        <v>45705</v>
      </c>
      <c r="B123" t="s">
        <v>268</v>
      </c>
      <c r="C123" t="s">
        <v>23</v>
      </c>
      <c r="D123" t="s">
        <v>11</v>
      </c>
      <c r="E123" t="s">
        <v>30</v>
      </c>
      <c r="F123" s="4">
        <v>25</v>
      </c>
      <c r="G123" s="4">
        <v>30000</v>
      </c>
      <c r="H123" s="4">
        <v>750000</v>
      </c>
      <c r="I123" s="33"/>
      <c r="J123" s="28" t="s">
        <v>23</v>
      </c>
      <c r="K123" s="28" t="str" cm="1">
        <f t="array" ref="K123">_xlfn.XLOOKUP(C123,_xlfn.ANCHORARRAY($M$2),$N$2:$N$9)</f>
        <v>Mobile</v>
      </c>
      <c r="L123" s="33"/>
      <c r="M123" s="33"/>
      <c r="N123" s="33"/>
      <c r="O123" s="33"/>
    </row>
    <row r="124" spans="1:15">
      <c r="A124" s="3">
        <v>45660</v>
      </c>
      <c r="B124" t="s">
        <v>270</v>
      </c>
      <c r="C124" t="s">
        <v>23</v>
      </c>
      <c r="D124" t="s">
        <v>24</v>
      </c>
      <c r="E124" t="s">
        <v>61</v>
      </c>
      <c r="F124" s="4">
        <v>5</v>
      </c>
      <c r="G124" s="4">
        <v>15000</v>
      </c>
      <c r="H124" s="4">
        <v>75000</v>
      </c>
      <c r="I124" s="33"/>
      <c r="J124" s="28" t="s">
        <v>23</v>
      </c>
      <c r="K124" s="28" t="str" cm="1">
        <f t="array" ref="K124">_xlfn.XLOOKUP(C124,_xlfn.ANCHORARRAY($M$2),$N$2:$N$9)</f>
        <v>Mobile</v>
      </c>
      <c r="L124" s="33"/>
      <c r="M124" s="33"/>
      <c r="N124" s="33"/>
      <c r="O124" s="33"/>
    </row>
    <row r="125" spans="1:15">
      <c r="A125" s="3">
        <v>45725</v>
      </c>
      <c r="B125" t="s">
        <v>272</v>
      </c>
      <c r="C125" t="s">
        <v>19</v>
      </c>
      <c r="D125" t="s">
        <v>29</v>
      </c>
      <c r="E125" t="s">
        <v>61</v>
      </c>
      <c r="F125" s="4">
        <v>23</v>
      </c>
      <c r="G125" s="4">
        <v>25000</v>
      </c>
      <c r="H125" s="4">
        <v>575000</v>
      </c>
      <c r="I125" s="33"/>
      <c r="J125" s="28" t="s">
        <v>19</v>
      </c>
      <c r="K125" s="28" t="str" cm="1">
        <f t="array" ref="K125">_xlfn.XLOOKUP(C125,_xlfn.ANCHORARRAY($M$2),$N$2:$N$9)</f>
        <v>Tablet</v>
      </c>
      <c r="L125" s="33"/>
      <c r="M125" s="33"/>
      <c r="N125" s="33"/>
      <c r="O125" s="33"/>
    </row>
    <row r="126" spans="1:15">
      <c r="A126" s="3">
        <v>45781</v>
      </c>
      <c r="B126" t="s">
        <v>274</v>
      </c>
      <c r="C126" t="s">
        <v>15</v>
      </c>
      <c r="D126" t="s">
        <v>11</v>
      </c>
      <c r="E126" t="s">
        <v>20</v>
      </c>
      <c r="F126" s="4">
        <v>16</v>
      </c>
      <c r="G126" s="4">
        <v>50000</v>
      </c>
      <c r="H126" s="4">
        <v>800000</v>
      </c>
      <c r="I126" s="33"/>
      <c r="J126" s="28" t="s">
        <v>15</v>
      </c>
      <c r="K126" s="28" t="str" cm="1">
        <f t="array" ref="K126">_xlfn.XLOOKUP(C126,_xlfn.ANCHORARRAY($M$2),$N$2:$N$9)</f>
        <v>Accessories</v>
      </c>
      <c r="L126" s="33"/>
      <c r="M126" s="33"/>
      <c r="N126" s="33"/>
      <c r="O126" s="33"/>
    </row>
    <row r="127" spans="1:15">
      <c r="A127" s="3">
        <v>45786</v>
      </c>
      <c r="B127" t="s">
        <v>276</v>
      </c>
      <c r="C127" t="s">
        <v>15</v>
      </c>
      <c r="D127" t="s">
        <v>51</v>
      </c>
      <c r="E127" t="s">
        <v>33</v>
      </c>
      <c r="F127" s="4">
        <v>26</v>
      </c>
      <c r="G127" s="4">
        <v>50000</v>
      </c>
      <c r="H127" s="4">
        <v>1300000</v>
      </c>
      <c r="I127" s="33"/>
      <c r="J127" s="28" t="s">
        <v>15</v>
      </c>
      <c r="K127" s="28" t="str" cm="1">
        <f t="array" ref="K127">_xlfn.XLOOKUP(C127,_xlfn.ANCHORARRAY($M$2),$N$2:$N$9)</f>
        <v>Accessories</v>
      </c>
      <c r="L127" s="33"/>
      <c r="M127" s="33"/>
      <c r="N127" s="33"/>
      <c r="O127" s="33"/>
    </row>
    <row r="128" spans="1:15">
      <c r="A128" s="3">
        <v>45780</v>
      </c>
      <c r="B128" t="s">
        <v>278</v>
      </c>
      <c r="C128" t="s">
        <v>10</v>
      </c>
      <c r="D128" t="s">
        <v>11</v>
      </c>
      <c r="E128" t="s">
        <v>30</v>
      </c>
      <c r="F128" s="4">
        <v>38</v>
      </c>
      <c r="G128" s="4">
        <v>800</v>
      </c>
      <c r="H128" s="4">
        <v>30400</v>
      </c>
      <c r="I128" s="33"/>
      <c r="J128" s="28" t="s">
        <v>10</v>
      </c>
      <c r="K128" s="28" t="str" cm="1">
        <f t="array" ref="K128">_xlfn.XLOOKUP(C128,_xlfn.ANCHORARRAY($M$2),$N$2:$N$9)</f>
        <v>Laptop</v>
      </c>
      <c r="L128" s="33"/>
      <c r="M128" s="33"/>
      <c r="N128" s="33"/>
      <c r="O128" s="33"/>
    </row>
    <row r="129" spans="1:15">
      <c r="A129" s="3">
        <v>45796</v>
      </c>
      <c r="B129" t="s">
        <v>280</v>
      </c>
      <c r="C129" t="s">
        <v>19</v>
      </c>
      <c r="D129" t="s">
        <v>29</v>
      </c>
      <c r="E129" t="s">
        <v>12</v>
      </c>
      <c r="F129" s="4">
        <v>31</v>
      </c>
      <c r="G129" s="4">
        <v>800</v>
      </c>
      <c r="H129" s="4">
        <v>24800</v>
      </c>
      <c r="I129" s="33"/>
      <c r="J129" s="28" t="s">
        <v>19</v>
      </c>
      <c r="K129" s="28" t="str" cm="1">
        <f t="array" ref="K129">_xlfn.XLOOKUP(C129,_xlfn.ANCHORARRAY($M$2),$N$2:$N$9)</f>
        <v>Tablet</v>
      </c>
      <c r="L129" s="33"/>
      <c r="M129" s="33"/>
      <c r="N129" s="33"/>
      <c r="O129" s="33"/>
    </row>
    <row r="130" spans="1:15">
      <c r="A130" s="3">
        <v>45711</v>
      </c>
      <c r="B130" t="s">
        <v>281</v>
      </c>
      <c r="C130" t="s">
        <v>23</v>
      </c>
      <c r="D130" t="s">
        <v>29</v>
      </c>
      <c r="E130" t="s">
        <v>38</v>
      </c>
      <c r="F130" s="4">
        <v>14</v>
      </c>
      <c r="G130" s="4">
        <v>1200</v>
      </c>
      <c r="H130" s="4">
        <v>16800</v>
      </c>
      <c r="I130" s="33"/>
      <c r="J130" s="28" t="s">
        <v>23</v>
      </c>
      <c r="K130" s="28" t="str" cm="1">
        <f t="array" ref="K130">_xlfn.XLOOKUP(C130,_xlfn.ANCHORARRAY($M$2),$N$2:$N$9)</f>
        <v>Mobile</v>
      </c>
      <c r="L130" s="33"/>
      <c r="M130" s="33"/>
      <c r="N130" s="33"/>
      <c r="O130" s="33"/>
    </row>
    <row r="131" spans="1:15">
      <c r="A131" s="3">
        <v>45761</v>
      </c>
      <c r="B131" t="s">
        <v>283</v>
      </c>
      <c r="C131" t="s">
        <v>15</v>
      </c>
      <c r="D131" t="s">
        <v>24</v>
      </c>
      <c r="E131" t="s">
        <v>12</v>
      </c>
      <c r="F131" s="4">
        <v>26</v>
      </c>
      <c r="G131" s="4">
        <v>800</v>
      </c>
      <c r="H131" s="4">
        <v>20800</v>
      </c>
      <c r="I131" s="33"/>
      <c r="J131" s="28" t="s">
        <v>15</v>
      </c>
      <c r="K131" s="28" t="str" cm="1">
        <f t="array" ref="K131">_xlfn.XLOOKUP(C131,_xlfn.ANCHORARRAY($M$2),$N$2:$N$9)</f>
        <v>Accessories</v>
      </c>
      <c r="L131" s="33"/>
      <c r="M131" s="33"/>
      <c r="N131" s="33"/>
      <c r="O131" s="33"/>
    </row>
    <row r="132" spans="1:15">
      <c r="A132" s="3">
        <v>45704</v>
      </c>
      <c r="B132" t="s">
        <v>285</v>
      </c>
      <c r="C132" t="s">
        <v>15</v>
      </c>
      <c r="D132" t="s">
        <v>24</v>
      </c>
      <c r="E132" t="s">
        <v>16</v>
      </c>
      <c r="F132" s="4">
        <v>28</v>
      </c>
      <c r="G132" s="4">
        <v>800</v>
      </c>
      <c r="H132" s="4">
        <v>22400</v>
      </c>
      <c r="I132" s="33"/>
      <c r="J132" s="28" t="s">
        <v>15</v>
      </c>
      <c r="K132" s="28" t="str" cm="1">
        <f t="array" ref="K132">_xlfn.XLOOKUP(C132,_xlfn.ANCHORARRAY($M$2),$N$2:$N$9)</f>
        <v>Accessories</v>
      </c>
      <c r="L132" s="33"/>
      <c r="M132" s="33"/>
      <c r="N132" s="33"/>
      <c r="O132" s="33"/>
    </row>
    <row r="133" spans="1:15">
      <c r="A133" s="3">
        <v>45743</v>
      </c>
      <c r="B133" t="s">
        <v>287</v>
      </c>
      <c r="C133" t="s">
        <v>19</v>
      </c>
      <c r="D133" t="s">
        <v>11</v>
      </c>
      <c r="E133" t="s">
        <v>46</v>
      </c>
      <c r="F133" s="4">
        <v>41</v>
      </c>
      <c r="G133" s="4">
        <v>1200</v>
      </c>
      <c r="H133" s="4">
        <v>49200</v>
      </c>
      <c r="I133" s="33"/>
      <c r="J133" s="28" t="s">
        <v>19</v>
      </c>
      <c r="K133" s="28" t="str" cm="1">
        <f t="array" ref="K133">_xlfn.XLOOKUP(C133,_xlfn.ANCHORARRAY($M$2),$N$2:$N$9)</f>
        <v>Tablet</v>
      </c>
      <c r="L133" s="33"/>
      <c r="M133" s="33"/>
      <c r="N133" s="33"/>
      <c r="O133" s="33"/>
    </row>
    <row r="134" spans="1:15">
      <c r="A134" s="3">
        <v>45837</v>
      </c>
      <c r="B134" t="s">
        <v>289</v>
      </c>
      <c r="C134" t="s">
        <v>23</v>
      </c>
      <c r="D134" t="s">
        <v>11</v>
      </c>
      <c r="E134" t="s">
        <v>33</v>
      </c>
      <c r="F134" s="4">
        <v>25</v>
      </c>
      <c r="G134" s="4">
        <v>30000</v>
      </c>
      <c r="H134" s="4">
        <v>750000</v>
      </c>
      <c r="I134" s="33"/>
      <c r="J134" s="28" t="s">
        <v>23</v>
      </c>
      <c r="K134" s="28" t="str" cm="1">
        <f t="array" ref="K134">_xlfn.XLOOKUP(C134,_xlfn.ANCHORARRAY($M$2),$N$2:$N$9)</f>
        <v>Mobile</v>
      </c>
      <c r="L134" s="33"/>
      <c r="M134" s="33"/>
      <c r="N134" s="33"/>
      <c r="O134" s="33"/>
    </row>
    <row r="135" spans="1:15">
      <c r="A135" s="3">
        <v>45672</v>
      </c>
      <c r="B135" t="s">
        <v>290</v>
      </c>
      <c r="C135" t="s">
        <v>15</v>
      </c>
      <c r="D135" t="s">
        <v>11</v>
      </c>
      <c r="E135" t="s">
        <v>25</v>
      </c>
      <c r="F135" s="4">
        <v>12</v>
      </c>
      <c r="G135" s="4">
        <v>1200</v>
      </c>
      <c r="H135" s="4">
        <v>14400</v>
      </c>
      <c r="I135" s="33"/>
      <c r="J135" s="28" t="s">
        <v>15</v>
      </c>
      <c r="K135" s="28" t="str" cm="1">
        <f t="array" ref="K135">_xlfn.XLOOKUP(C135,_xlfn.ANCHORARRAY($M$2),$N$2:$N$9)</f>
        <v>Accessories</v>
      </c>
      <c r="L135" s="33"/>
      <c r="M135" s="33"/>
      <c r="N135" s="33"/>
      <c r="O135" s="33"/>
    </row>
    <row r="136" spans="1:15">
      <c r="A136" s="3">
        <v>45760</v>
      </c>
      <c r="B136" t="s">
        <v>291</v>
      </c>
      <c r="C136" t="s">
        <v>23</v>
      </c>
      <c r="D136" t="s">
        <v>29</v>
      </c>
      <c r="E136" t="s">
        <v>46</v>
      </c>
      <c r="F136" s="4">
        <v>46</v>
      </c>
      <c r="G136" s="4">
        <v>15000</v>
      </c>
      <c r="H136" s="4">
        <v>690000</v>
      </c>
      <c r="I136" s="33"/>
      <c r="J136" s="28" t="s">
        <v>23</v>
      </c>
      <c r="K136" s="28" t="str" cm="1">
        <f t="array" ref="K136">_xlfn.XLOOKUP(C136,_xlfn.ANCHORARRAY($M$2),$N$2:$N$9)</f>
        <v>Mobile</v>
      </c>
      <c r="L136" s="33"/>
      <c r="M136" s="33"/>
      <c r="N136" s="33"/>
      <c r="O136" s="33"/>
    </row>
    <row r="137" spans="1:15">
      <c r="A137" s="3">
        <v>45705</v>
      </c>
      <c r="B137" t="s">
        <v>292</v>
      </c>
      <c r="C137" t="s">
        <v>19</v>
      </c>
      <c r="D137" t="s">
        <v>29</v>
      </c>
      <c r="E137" t="s">
        <v>20</v>
      </c>
      <c r="F137" s="4">
        <v>41</v>
      </c>
      <c r="G137" s="4">
        <v>800</v>
      </c>
      <c r="H137" s="4">
        <v>32800</v>
      </c>
      <c r="I137" s="33"/>
      <c r="J137" s="28" t="s">
        <v>19</v>
      </c>
      <c r="K137" s="28" t="str" cm="1">
        <f t="array" ref="K137">_xlfn.XLOOKUP(C137,_xlfn.ANCHORARRAY($M$2),$N$2:$N$9)</f>
        <v>Tablet</v>
      </c>
      <c r="L137" s="33"/>
      <c r="M137" s="33"/>
      <c r="N137" s="33"/>
      <c r="O137" s="33"/>
    </row>
    <row r="138" spans="1:15">
      <c r="A138" s="3">
        <v>45676</v>
      </c>
      <c r="B138" t="s">
        <v>294</v>
      </c>
      <c r="C138" t="s">
        <v>116</v>
      </c>
      <c r="D138" t="s">
        <v>51</v>
      </c>
      <c r="E138" t="s">
        <v>20</v>
      </c>
      <c r="F138" s="4">
        <v>31</v>
      </c>
      <c r="G138" s="4">
        <v>50000</v>
      </c>
      <c r="H138" s="4">
        <v>1550000</v>
      </c>
      <c r="I138" s="33"/>
      <c r="J138" s="28" t="s">
        <v>116</v>
      </c>
      <c r="K138" s="28" t="str" cm="1">
        <f t="array" ref="K138">_xlfn.XLOOKUP(C138,_xlfn.ANCHORARRAY($M$2),$N$2:$N$9)</f>
        <v>Mobile</v>
      </c>
      <c r="L138" s="33"/>
      <c r="M138" s="33"/>
      <c r="N138" s="33"/>
      <c r="O138" s="33"/>
    </row>
    <row r="139" spans="1:15">
      <c r="A139" s="3">
        <v>45704</v>
      </c>
      <c r="B139" t="s">
        <v>295</v>
      </c>
      <c r="C139" t="s">
        <v>10</v>
      </c>
      <c r="D139" t="s">
        <v>11</v>
      </c>
      <c r="E139" t="s">
        <v>20</v>
      </c>
      <c r="F139" s="4">
        <v>35</v>
      </c>
      <c r="G139" s="4">
        <v>25000</v>
      </c>
      <c r="H139" s="4">
        <v>875000</v>
      </c>
      <c r="I139" s="33"/>
      <c r="J139" s="28" t="s">
        <v>10</v>
      </c>
      <c r="K139" s="28" t="str" cm="1">
        <f t="array" ref="K139">_xlfn.XLOOKUP(C139,_xlfn.ANCHORARRAY($M$2),$N$2:$N$9)</f>
        <v>Laptop</v>
      </c>
      <c r="L139" s="33"/>
      <c r="M139" s="33"/>
      <c r="N139" s="33"/>
      <c r="O139" s="33"/>
    </row>
    <row r="140" spans="1:15">
      <c r="A140" s="3">
        <v>45764</v>
      </c>
      <c r="B140" t="s">
        <v>297</v>
      </c>
      <c r="C140" t="s">
        <v>19</v>
      </c>
      <c r="D140" t="s">
        <v>29</v>
      </c>
      <c r="E140" t="s">
        <v>38</v>
      </c>
      <c r="F140" s="4">
        <v>35</v>
      </c>
      <c r="G140" s="4">
        <v>50000</v>
      </c>
      <c r="H140" s="4">
        <v>1750000</v>
      </c>
      <c r="I140" s="33"/>
      <c r="J140" s="28" t="s">
        <v>19</v>
      </c>
      <c r="K140" s="28" t="str" cm="1">
        <f t="array" ref="K140">_xlfn.XLOOKUP(C140,_xlfn.ANCHORARRAY($M$2),$N$2:$N$9)</f>
        <v>Tablet</v>
      </c>
      <c r="L140" s="33"/>
      <c r="M140" s="33"/>
      <c r="N140" s="33"/>
      <c r="O140" s="33"/>
    </row>
    <row r="141" spans="1:15">
      <c r="A141" s="3">
        <v>45815</v>
      </c>
      <c r="B141" t="s">
        <v>298</v>
      </c>
      <c r="C141" t="s">
        <v>10</v>
      </c>
      <c r="D141" t="s">
        <v>51</v>
      </c>
      <c r="E141" t="s">
        <v>12</v>
      </c>
      <c r="F141" s="4">
        <v>2</v>
      </c>
      <c r="G141" s="4">
        <v>1200</v>
      </c>
      <c r="H141" s="4">
        <v>2400</v>
      </c>
      <c r="I141" s="33"/>
      <c r="J141" s="28" t="s">
        <v>10</v>
      </c>
      <c r="K141" s="28" t="str" cm="1">
        <f t="array" ref="K141">_xlfn.XLOOKUP(C141,_xlfn.ANCHORARRAY($M$2),$N$2:$N$9)</f>
        <v>Laptop</v>
      </c>
      <c r="L141" s="33"/>
      <c r="M141" s="33"/>
      <c r="N141" s="33"/>
      <c r="O141" s="33"/>
    </row>
    <row r="142" spans="1:15">
      <c r="A142" s="3">
        <v>45676</v>
      </c>
      <c r="B142" t="s">
        <v>300</v>
      </c>
      <c r="C142" t="s">
        <v>143</v>
      </c>
      <c r="D142" t="s">
        <v>51</v>
      </c>
      <c r="E142" t="s">
        <v>33</v>
      </c>
      <c r="F142" s="4">
        <v>32</v>
      </c>
      <c r="G142" s="4">
        <v>1200</v>
      </c>
      <c r="H142" s="4">
        <v>38400</v>
      </c>
      <c r="I142" s="33"/>
      <c r="J142" s="28" t="s">
        <v>143</v>
      </c>
      <c r="K142" s="28" t="str" cm="1">
        <f t="array" ref="K142">_xlfn.XLOOKUP(C142,_xlfn.ANCHORARRAY($M$2),$N$2:$N$9)</f>
        <v>Laptop</v>
      </c>
      <c r="L142" s="33"/>
      <c r="M142" s="33"/>
      <c r="N142" s="33"/>
      <c r="O142" s="33"/>
    </row>
    <row r="143" spans="1:15">
      <c r="A143" s="3">
        <v>45807</v>
      </c>
      <c r="B143" t="s">
        <v>302</v>
      </c>
      <c r="C143" t="s">
        <v>19</v>
      </c>
      <c r="D143" t="s">
        <v>24</v>
      </c>
      <c r="E143" t="s">
        <v>72</v>
      </c>
      <c r="F143" s="4">
        <v>50</v>
      </c>
      <c r="G143" s="4">
        <v>30000</v>
      </c>
      <c r="H143" s="4">
        <v>1500000</v>
      </c>
      <c r="I143" s="33"/>
      <c r="J143" s="28" t="s">
        <v>19</v>
      </c>
      <c r="K143" s="28" t="str" cm="1">
        <f t="array" ref="K143">_xlfn.XLOOKUP(C143,_xlfn.ANCHORARRAY($M$2),$N$2:$N$9)</f>
        <v>Tablet</v>
      </c>
      <c r="L143" s="33"/>
      <c r="M143" s="33"/>
      <c r="N143" s="33"/>
      <c r="O143" s="33"/>
    </row>
    <row r="144" spans="1:15">
      <c r="A144" s="3">
        <v>45769</v>
      </c>
      <c r="B144" t="s">
        <v>304</v>
      </c>
      <c r="C144" t="s">
        <v>15</v>
      </c>
      <c r="D144" t="s">
        <v>51</v>
      </c>
      <c r="E144" t="s">
        <v>20</v>
      </c>
      <c r="F144" s="4">
        <v>10</v>
      </c>
      <c r="G144" s="4">
        <v>15000</v>
      </c>
      <c r="H144" s="4">
        <v>149305</v>
      </c>
      <c r="I144" s="33"/>
      <c r="J144" s="28" t="s">
        <v>15</v>
      </c>
      <c r="K144" s="28" t="str" cm="1">
        <f t="array" ref="K144">_xlfn.XLOOKUP(C144,_xlfn.ANCHORARRAY($M$2),$N$2:$N$9)</f>
        <v>Accessories</v>
      </c>
      <c r="L144" s="33"/>
      <c r="M144" s="33"/>
      <c r="N144" s="33"/>
      <c r="O144" s="33"/>
    </row>
    <row r="145" spans="1:15">
      <c r="A145" s="3">
        <v>45737</v>
      </c>
      <c r="B145" t="s">
        <v>305</v>
      </c>
      <c r="C145" t="s">
        <v>306</v>
      </c>
      <c r="D145" t="s">
        <v>24</v>
      </c>
      <c r="E145" t="s">
        <v>30</v>
      </c>
      <c r="F145" s="4">
        <v>22</v>
      </c>
      <c r="G145" s="4">
        <v>50000</v>
      </c>
      <c r="H145" s="4">
        <v>1100000</v>
      </c>
      <c r="I145" s="33"/>
      <c r="J145" s="28" t="s">
        <v>306</v>
      </c>
      <c r="K145" s="28" t="str" cm="1">
        <f t="array" ref="K145">_xlfn.XLOOKUP(C145,_xlfn.ANCHORARRAY($M$2),$N$2:$N$9)</f>
        <v>Tablet</v>
      </c>
      <c r="L145" s="33"/>
      <c r="M145" s="33"/>
      <c r="N145" s="33"/>
      <c r="O145" s="33"/>
    </row>
    <row r="146" spans="1:15">
      <c r="A146" s="3">
        <v>45837</v>
      </c>
      <c r="B146" t="s">
        <v>307</v>
      </c>
      <c r="C146" t="s">
        <v>143</v>
      </c>
      <c r="D146" t="s">
        <v>24</v>
      </c>
      <c r="E146" t="s">
        <v>61</v>
      </c>
      <c r="F146" s="4">
        <v>12</v>
      </c>
      <c r="G146" s="4">
        <v>15000</v>
      </c>
      <c r="H146" s="4">
        <v>180000</v>
      </c>
      <c r="I146" s="33"/>
      <c r="J146" s="28" t="s">
        <v>143</v>
      </c>
      <c r="K146" s="28" t="str" cm="1">
        <f t="array" ref="K146">_xlfn.XLOOKUP(C146,_xlfn.ANCHORARRAY($M$2),$N$2:$N$9)</f>
        <v>Laptop</v>
      </c>
      <c r="L146" s="33"/>
      <c r="M146" s="33"/>
      <c r="N146" s="33"/>
      <c r="O146" s="33"/>
    </row>
    <row r="147" spans="1:15">
      <c r="A147" s="3">
        <v>45694</v>
      </c>
      <c r="B147" t="s">
        <v>309</v>
      </c>
      <c r="C147" t="s">
        <v>19</v>
      </c>
      <c r="D147" t="s">
        <v>24</v>
      </c>
      <c r="E147" t="s">
        <v>38</v>
      </c>
      <c r="F147" s="4">
        <v>11</v>
      </c>
      <c r="G147" s="4">
        <v>25000</v>
      </c>
      <c r="H147" s="4">
        <v>275159</v>
      </c>
      <c r="I147" s="33"/>
      <c r="J147" s="28" t="s">
        <v>19</v>
      </c>
      <c r="K147" s="28" t="str" cm="1">
        <f t="array" ref="K147">_xlfn.XLOOKUP(C147,_xlfn.ANCHORARRAY($M$2),$N$2:$N$9)</f>
        <v>Tablet</v>
      </c>
      <c r="L147" s="33"/>
      <c r="M147" s="33"/>
      <c r="N147" s="33"/>
      <c r="O147" s="33"/>
    </row>
    <row r="148" spans="1:15">
      <c r="A148" s="3">
        <v>45766</v>
      </c>
      <c r="B148" t="s">
        <v>311</v>
      </c>
      <c r="C148" t="s">
        <v>306</v>
      </c>
      <c r="D148" t="s">
        <v>24</v>
      </c>
      <c r="E148" t="s">
        <v>33</v>
      </c>
      <c r="F148" s="4">
        <v>45</v>
      </c>
      <c r="G148" s="4">
        <v>50000</v>
      </c>
      <c r="H148" s="4">
        <v>2250000</v>
      </c>
      <c r="I148" s="33"/>
      <c r="J148" s="28" t="s">
        <v>306</v>
      </c>
      <c r="K148" s="28" t="str" cm="1">
        <f t="array" ref="K148">_xlfn.XLOOKUP(C148,_xlfn.ANCHORARRAY($M$2),$N$2:$N$9)</f>
        <v>Tablet</v>
      </c>
      <c r="L148" s="33"/>
      <c r="M148" s="33"/>
      <c r="N148" s="33"/>
      <c r="O148" s="33"/>
    </row>
    <row r="149" spans="1:15">
      <c r="A149" s="3">
        <v>45746</v>
      </c>
      <c r="B149" t="s">
        <v>313</v>
      </c>
      <c r="C149" t="s">
        <v>19</v>
      </c>
      <c r="D149" t="s">
        <v>29</v>
      </c>
      <c r="E149" t="s">
        <v>16</v>
      </c>
      <c r="F149" s="4">
        <v>35</v>
      </c>
      <c r="G149" s="4">
        <v>25000</v>
      </c>
      <c r="H149" s="4">
        <v>875000</v>
      </c>
      <c r="I149" s="33"/>
      <c r="J149" s="28" t="s">
        <v>19</v>
      </c>
      <c r="K149" s="28" t="str" cm="1">
        <f t="array" ref="K149">_xlfn.XLOOKUP(C149,_xlfn.ANCHORARRAY($M$2),$N$2:$N$9)</f>
        <v>Tablet</v>
      </c>
      <c r="L149" s="33"/>
      <c r="M149" s="33"/>
      <c r="N149" s="33"/>
      <c r="O149" s="33"/>
    </row>
    <row r="150" spans="1:15">
      <c r="A150" s="3">
        <v>45731</v>
      </c>
      <c r="B150" t="s">
        <v>315</v>
      </c>
      <c r="C150" t="s">
        <v>19</v>
      </c>
      <c r="D150" t="s">
        <v>11</v>
      </c>
      <c r="E150" t="s">
        <v>20</v>
      </c>
      <c r="F150" s="4">
        <v>35</v>
      </c>
      <c r="G150" s="4">
        <v>25000</v>
      </c>
      <c r="H150" s="4">
        <v>875000</v>
      </c>
      <c r="I150" s="33"/>
      <c r="J150" s="28" t="s">
        <v>19</v>
      </c>
      <c r="K150" s="28" t="str" cm="1">
        <f t="array" ref="K150">_xlfn.XLOOKUP(C150,_xlfn.ANCHORARRAY($M$2),$N$2:$N$9)</f>
        <v>Tablet</v>
      </c>
      <c r="L150" s="33"/>
      <c r="M150" s="33"/>
      <c r="N150" s="33"/>
      <c r="O150" s="33"/>
    </row>
    <row r="151" spans="1:15">
      <c r="A151" s="3">
        <v>45680</v>
      </c>
      <c r="B151" t="s">
        <v>317</v>
      </c>
      <c r="C151" t="s">
        <v>19</v>
      </c>
      <c r="D151" t="s">
        <v>24</v>
      </c>
      <c r="E151" t="s">
        <v>12</v>
      </c>
      <c r="F151" s="4">
        <v>27</v>
      </c>
      <c r="G151" s="4">
        <v>15000</v>
      </c>
      <c r="H151" s="4">
        <v>405000</v>
      </c>
      <c r="I151" s="33"/>
      <c r="J151" s="28" t="s">
        <v>19</v>
      </c>
      <c r="K151" s="28" t="str" cm="1">
        <f t="array" ref="K151">_xlfn.XLOOKUP(C151,_xlfn.ANCHORARRAY($M$2),$N$2:$N$9)</f>
        <v>Tablet</v>
      </c>
      <c r="L151" s="33"/>
      <c r="M151" s="33"/>
      <c r="N151" s="33"/>
      <c r="O151" s="33"/>
    </row>
    <row r="152" spans="1:15">
      <c r="A152" s="3">
        <v>45783</v>
      </c>
      <c r="B152" t="s">
        <v>318</v>
      </c>
      <c r="C152" t="s">
        <v>260</v>
      </c>
      <c r="D152" t="s">
        <v>11</v>
      </c>
      <c r="E152" t="s">
        <v>46</v>
      </c>
      <c r="F152" s="4">
        <v>18</v>
      </c>
      <c r="G152" s="4">
        <v>15000</v>
      </c>
      <c r="H152" s="4">
        <v>270000</v>
      </c>
      <c r="I152" s="33"/>
      <c r="J152" s="28" t="s">
        <v>260</v>
      </c>
      <c r="K152" s="28" t="str" cm="1">
        <f t="array" ref="K152">_xlfn.XLOOKUP(C152,_xlfn.ANCHORARRAY($M$2),$N$2:$N$9)</f>
        <v>Accessories</v>
      </c>
      <c r="L152" s="33"/>
      <c r="M152" s="33"/>
      <c r="N152" s="33"/>
      <c r="O152" s="33"/>
    </row>
    <row r="153" spans="1:15">
      <c r="A153" s="3">
        <v>45749</v>
      </c>
      <c r="B153" t="s">
        <v>320</v>
      </c>
      <c r="C153" t="s">
        <v>10</v>
      </c>
      <c r="D153" t="s">
        <v>24</v>
      </c>
      <c r="E153" t="s">
        <v>16</v>
      </c>
      <c r="F153" s="4">
        <v>34</v>
      </c>
      <c r="G153" s="4">
        <v>50000</v>
      </c>
      <c r="H153" s="4">
        <v>1700000</v>
      </c>
      <c r="I153" s="33"/>
      <c r="J153" s="28" t="s">
        <v>10</v>
      </c>
      <c r="K153" s="28" t="str" cm="1">
        <f t="array" ref="K153">_xlfn.XLOOKUP(C153,_xlfn.ANCHORARRAY($M$2),$N$2:$N$9)</f>
        <v>Laptop</v>
      </c>
      <c r="L153" s="33"/>
      <c r="M153" s="33"/>
      <c r="N153" s="33"/>
      <c r="O153" s="33"/>
    </row>
    <row r="154" spans="1:15">
      <c r="A154" s="3">
        <v>45789</v>
      </c>
      <c r="B154" t="s">
        <v>321</v>
      </c>
      <c r="C154" t="s">
        <v>15</v>
      </c>
      <c r="D154" t="s">
        <v>29</v>
      </c>
      <c r="E154" t="s">
        <v>25</v>
      </c>
      <c r="F154" s="4">
        <v>7</v>
      </c>
      <c r="G154" s="4">
        <v>50000</v>
      </c>
      <c r="H154" s="4">
        <v>350000</v>
      </c>
      <c r="I154" s="33"/>
      <c r="J154" s="28" t="s">
        <v>15</v>
      </c>
      <c r="K154" s="28" t="str" cm="1">
        <f t="array" ref="K154">_xlfn.XLOOKUP(C154,_xlfn.ANCHORARRAY($M$2),$N$2:$N$9)</f>
        <v>Accessories</v>
      </c>
      <c r="L154" s="33"/>
      <c r="M154" s="33"/>
      <c r="N154" s="33"/>
      <c r="O154" s="33"/>
    </row>
    <row r="155" spans="1:15">
      <c r="A155" s="3">
        <v>45761</v>
      </c>
      <c r="B155" t="s">
        <v>322</v>
      </c>
      <c r="C155" t="s">
        <v>19</v>
      </c>
      <c r="D155" t="s">
        <v>29</v>
      </c>
      <c r="E155" t="s">
        <v>61</v>
      </c>
      <c r="F155" s="4">
        <v>26</v>
      </c>
      <c r="G155" s="4">
        <v>15000</v>
      </c>
      <c r="H155" s="4">
        <v>390000</v>
      </c>
      <c r="I155" s="33"/>
      <c r="J155" s="28" t="s">
        <v>19</v>
      </c>
      <c r="K155" s="28" t="str" cm="1">
        <f t="array" ref="K155">_xlfn.XLOOKUP(C155,_xlfn.ANCHORARRAY($M$2),$N$2:$N$9)</f>
        <v>Tablet</v>
      </c>
      <c r="L155" s="33"/>
      <c r="M155" s="33"/>
      <c r="N155" s="33"/>
      <c r="O155" s="33"/>
    </row>
    <row r="156" spans="1:15">
      <c r="A156" s="3">
        <v>45700</v>
      </c>
      <c r="B156" t="s">
        <v>325</v>
      </c>
      <c r="C156" t="s">
        <v>15</v>
      </c>
      <c r="D156" t="s">
        <v>51</v>
      </c>
      <c r="E156" t="s">
        <v>46</v>
      </c>
      <c r="F156" s="4">
        <v>8</v>
      </c>
      <c r="G156" s="4">
        <v>15000</v>
      </c>
      <c r="H156" s="4">
        <v>120000</v>
      </c>
      <c r="I156" s="33"/>
      <c r="J156" s="28" t="s">
        <v>15</v>
      </c>
      <c r="K156" s="28" t="str" cm="1">
        <f t="array" ref="K156">_xlfn.XLOOKUP(C156,_xlfn.ANCHORARRAY($M$2),$N$2:$N$9)</f>
        <v>Accessories</v>
      </c>
      <c r="L156" s="33"/>
      <c r="M156" s="33"/>
      <c r="N156" s="33"/>
      <c r="O156" s="33"/>
    </row>
    <row r="157" spans="1:15">
      <c r="A157" s="3">
        <v>45662</v>
      </c>
      <c r="B157" t="s">
        <v>327</v>
      </c>
      <c r="C157" t="s">
        <v>23</v>
      </c>
      <c r="D157" t="s">
        <v>29</v>
      </c>
      <c r="E157" t="s">
        <v>12</v>
      </c>
      <c r="F157" s="4">
        <v>3</v>
      </c>
      <c r="G157" s="4">
        <v>25000</v>
      </c>
      <c r="H157" s="4">
        <v>75000</v>
      </c>
      <c r="I157" s="33"/>
      <c r="J157" s="28" t="s">
        <v>23</v>
      </c>
      <c r="K157" s="28" t="str" cm="1">
        <f t="array" ref="K157">_xlfn.XLOOKUP(C157,_xlfn.ANCHORARRAY($M$2),$N$2:$N$9)</f>
        <v>Mobile</v>
      </c>
      <c r="L157" s="33"/>
      <c r="M157" s="33"/>
      <c r="N157" s="33"/>
      <c r="O157" s="33"/>
    </row>
    <row r="158" spans="1:15">
      <c r="A158" s="3">
        <v>45803</v>
      </c>
      <c r="B158" t="s">
        <v>329</v>
      </c>
      <c r="C158" t="s">
        <v>116</v>
      </c>
      <c r="D158" t="s">
        <v>51</v>
      </c>
      <c r="E158" t="s">
        <v>20</v>
      </c>
      <c r="F158" s="4">
        <v>25</v>
      </c>
      <c r="G158" s="4">
        <v>15000</v>
      </c>
      <c r="H158" s="4">
        <v>375000</v>
      </c>
      <c r="I158" s="33"/>
      <c r="J158" s="28" t="s">
        <v>116</v>
      </c>
      <c r="K158" s="28" t="str" cm="1">
        <f t="array" ref="K158">_xlfn.XLOOKUP(C158,_xlfn.ANCHORARRAY($M$2),$N$2:$N$9)</f>
        <v>Mobile</v>
      </c>
      <c r="L158" s="33"/>
      <c r="M158" s="33"/>
      <c r="N158" s="33"/>
      <c r="O158" s="33"/>
    </row>
    <row r="159" spans="1:15">
      <c r="A159" s="3">
        <v>45829</v>
      </c>
      <c r="B159" t="s">
        <v>330</v>
      </c>
      <c r="C159" t="s">
        <v>15</v>
      </c>
      <c r="D159" t="s">
        <v>29</v>
      </c>
      <c r="E159" t="s">
        <v>46</v>
      </c>
      <c r="F159" s="4">
        <v>6</v>
      </c>
      <c r="G159" s="4">
        <v>50000</v>
      </c>
      <c r="H159" s="4">
        <v>300000</v>
      </c>
      <c r="I159" s="33"/>
      <c r="J159" s="28" t="s">
        <v>15</v>
      </c>
      <c r="K159" s="28" t="str" cm="1">
        <f t="array" ref="K159">_xlfn.XLOOKUP(C159,_xlfn.ANCHORARRAY($M$2),$N$2:$N$9)</f>
        <v>Accessories</v>
      </c>
      <c r="L159" s="33"/>
      <c r="M159" s="33"/>
      <c r="N159" s="33"/>
      <c r="O159" s="33"/>
    </row>
    <row r="160" spans="1:15">
      <c r="A160" s="3">
        <v>45810</v>
      </c>
      <c r="B160" t="s">
        <v>332</v>
      </c>
      <c r="C160" t="s">
        <v>23</v>
      </c>
      <c r="D160" t="s">
        <v>11</v>
      </c>
      <c r="E160" t="s">
        <v>16</v>
      </c>
      <c r="F160" s="4">
        <v>32</v>
      </c>
      <c r="G160" s="4">
        <v>30000</v>
      </c>
      <c r="H160" s="4">
        <v>960000</v>
      </c>
      <c r="I160" s="33"/>
      <c r="J160" s="28" t="s">
        <v>23</v>
      </c>
      <c r="K160" s="28" t="str" cm="1">
        <f t="array" ref="K160">_xlfn.XLOOKUP(C160,_xlfn.ANCHORARRAY($M$2),$N$2:$N$9)</f>
        <v>Mobile</v>
      </c>
      <c r="L160" s="33"/>
      <c r="M160" s="33"/>
      <c r="N160" s="33"/>
      <c r="O160" s="33"/>
    </row>
    <row r="161" spans="1:15">
      <c r="A161" s="3">
        <v>45682</v>
      </c>
      <c r="B161" t="s">
        <v>334</v>
      </c>
      <c r="C161" t="s">
        <v>15</v>
      </c>
      <c r="D161" t="s">
        <v>24</v>
      </c>
      <c r="E161" t="s">
        <v>38</v>
      </c>
      <c r="F161" s="4">
        <v>31</v>
      </c>
      <c r="G161" s="4">
        <v>800</v>
      </c>
      <c r="H161" s="4">
        <v>24800</v>
      </c>
      <c r="I161" s="33"/>
      <c r="J161" s="28" t="s">
        <v>15</v>
      </c>
      <c r="K161" s="28" t="str" cm="1">
        <f t="array" ref="K161">_xlfn.XLOOKUP(C161,_xlfn.ANCHORARRAY($M$2),$N$2:$N$9)</f>
        <v>Accessories</v>
      </c>
      <c r="L161" s="33"/>
      <c r="M161" s="33"/>
      <c r="N161" s="33"/>
      <c r="O161" s="33"/>
    </row>
    <row r="162" spans="1:15">
      <c r="A162" s="3">
        <v>45717</v>
      </c>
      <c r="B162" t="s">
        <v>336</v>
      </c>
      <c r="C162" t="s">
        <v>260</v>
      </c>
      <c r="D162" t="s">
        <v>11</v>
      </c>
      <c r="E162" t="s">
        <v>30</v>
      </c>
      <c r="F162" s="4">
        <v>48</v>
      </c>
      <c r="G162" s="4">
        <v>1200</v>
      </c>
      <c r="H162" s="4">
        <v>57600</v>
      </c>
      <c r="I162" s="33"/>
      <c r="J162" s="28" t="s">
        <v>260</v>
      </c>
      <c r="K162" s="28" t="str" cm="1">
        <f t="array" ref="K162">_xlfn.XLOOKUP(C162,_xlfn.ANCHORARRAY($M$2),$N$2:$N$9)</f>
        <v>Accessories</v>
      </c>
      <c r="L162" s="33"/>
      <c r="M162" s="33"/>
      <c r="N162" s="33"/>
      <c r="O162" s="33"/>
    </row>
    <row r="163" spans="1:15">
      <c r="A163" s="3">
        <v>45714</v>
      </c>
      <c r="B163" t="s">
        <v>338</v>
      </c>
      <c r="C163" t="s">
        <v>15</v>
      </c>
      <c r="D163" t="s">
        <v>29</v>
      </c>
      <c r="E163" t="s">
        <v>61</v>
      </c>
      <c r="F163" s="4">
        <v>44</v>
      </c>
      <c r="G163" s="4">
        <v>50000</v>
      </c>
      <c r="H163" s="4">
        <v>2200000</v>
      </c>
      <c r="I163" s="33"/>
      <c r="J163" s="28" t="s">
        <v>15</v>
      </c>
      <c r="K163" s="28" t="str" cm="1">
        <f t="array" ref="K163">_xlfn.XLOOKUP(C163,_xlfn.ANCHORARRAY($M$2),$N$2:$N$9)</f>
        <v>Accessories</v>
      </c>
      <c r="L163" s="33"/>
      <c r="M163" s="33"/>
      <c r="N163" s="33"/>
      <c r="O163" s="33"/>
    </row>
    <row r="164" spans="1:15">
      <c r="A164" s="3">
        <v>45780</v>
      </c>
      <c r="B164" t="s">
        <v>340</v>
      </c>
      <c r="C164" t="s">
        <v>15</v>
      </c>
      <c r="D164" t="s">
        <v>51</v>
      </c>
      <c r="E164" t="s">
        <v>46</v>
      </c>
      <c r="F164" s="4">
        <v>19</v>
      </c>
      <c r="G164" s="4">
        <v>25000</v>
      </c>
      <c r="H164" s="4">
        <v>475000</v>
      </c>
      <c r="I164" s="33"/>
      <c r="J164" s="28" t="s">
        <v>15</v>
      </c>
      <c r="K164" s="28" t="str" cm="1">
        <f t="array" ref="K164">_xlfn.XLOOKUP(C164,_xlfn.ANCHORARRAY($M$2),$N$2:$N$9)</f>
        <v>Accessories</v>
      </c>
      <c r="L164" s="33"/>
      <c r="M164" s="33"/>
      <c r="N164" s="33"/>
      <c r="O164" s="33"/>
    </row>
    <row r="165" spans="1:15">
      <c r="A165" s="3">
        <v>45821</v>
      </c>
      <c r="B165" t="s">
        <v>342</v>
      </c>
      <c r="C165" t="s">
        <v>10</v>
      </c>
      <c r="D165" t="s">
        <v>11</v>
      </c>
      <c r="E165" t="s">
        <v>61</v>
      </c>
      <c r="F165" s="4">
        <v>32</v>
      </c>
      <c r="G165" s="4">
        <v>25000</v>
      </c>
      <c r="H165" s="4">
        <v>800000</v>
      </c>
      <c r="I165" s="33"/>
      <c r="J165" s="28" t="s">
        <v>10</v>
      </c>
      <c r="K165" s="28" t="str" cm="1">
        <f t="array" ref="K165">_xlfn.XLOOKUP(C165,_xlfn.ANCHORARRAY($M$2),$N$2:$N$9)</f>
        <v>Laptop</v>
      </c>
      <c r="L165" s="33"/>
      <c r="M165" s="33"/>
      <c r="N165" s="33"/>
      <c r="O165" s="33"/>
    </row>
    <row r="166" spans="1:15">
      <c r="A166" s="3">
        <v>45773</v>
      </c>
      <c r="B166" t="s">
        <v>343</v>
      </c>
      <c r="C166" t="s">
        <v>23</v>
      </c>
      <c r="D166" t="s">
        <v>51</v>
      </c>
      <c r="E166" t="s">
        <v>30</v>
      </c>
      <c r="F166" s="4">
        <v>20</v>
      </c>
      <c r="G166" s="4">
        <v>25000</v>
      </c>
      <c r="H166" s="4">
        <v>500000</v>
      </c>
      <c r="I166" s="33"/>
      <c r="J166" s="28" t="s">
        <v>23</v>
      </c>
      <c r="K166" s="28" t="str" cm="1">
        <f t="array" ref="K166">_xlfn.XLOOKUP(C166,_xlfn.ANCHORARRAY($M$2),$N$2:$N$9)</f>
        <v>Mobile</v>
      </c>
      <c r="L166" s="33"/>
      <c r="M166" s="33"/>
      <c r="N166" s="33"/>
      <c r="O166" s="33"/>
    </row>
    <row r="167" spans="1:15">
      <c r="A167" s="3">
        <v>45691</v>
      </c>
      <c r="B167" t="s">
        <v>344</v>
      </c>
      <c r="C167" t="s">
        <v>19</v>
      </c>
      <c r="D167" t="s">
        <v>51</v>
      </c>
      <c r="E167" t="s">
        <v>12</v>
      </c>
      <c r="F167" s="4">
        <v>4</v>
      </c>
      <c r="G167" s="4">
        <v>15000</v>
      </c>
      <c r="H167" s="4">
        <v>60000</v>
      </c>
      <c r="I167" s="33"/>
      <c r="J167" s="28" t="s">
        <v>19</v>
      </c>
      <c r="K167" s="28" t="str" cm="1">
        <f t="array" ref="K167">_xlfn.XLOOKUP(C167,_xlfn.ANCHORARRAY($M$2),$N$2:$N$9)</f>
        <v>Tablet</v>
      </c>
      <c r="L167" s="33"/>
      <c r="M167" s="33"/>
      <c r="N167" s="33"/>
      <c r="O167" s="33"/>
    </row>
    <row r="168" spans="1:15">
      <c r="A168" s="3">
        <v>45935</v>
      </c>
      <c r="B168" t="s">
        <v>346</v>
      </c>
      <c r="C168" t="s">
        <v>15</v>
      </c>
      <c r="D168" t="s">
        <v>11</v>
      </c>
      <c r="E168" t="s">
        <v>20</v>
      </c>
      <c r="F168" s="4">
        <v>20</v>
      </c>
      <c r="G168" s="4">
        <v>30000</v>
      </c>
      <c r="H168" s="4">
        <v>600000</v>
      </c>
      <c r="I168" s="33"/>
      <c r="J168" s="28" t="s">
        <v>15</v>
      </c>
      <c r="K168" s="28" t="str" cm="1">
        <f t="array" ref="K168">_xlfn.XLOOKUP(C168,_xlfn.ANCHORARRAY($M$2),$N$2:$N$9)</f>
        <v>Accessories</v>
      </c>
      <c r="L168" s="33"/>
      <c r="M168" s="33"/>
      <c r="N168" s="33"/>
      <c r="O168" s="33"/>
    </row>
    <row r="169" spans="1:15">
      <c r="A169" s="3">
        <v>45747</v>
      </c>
      <c r="B169" t="s">
        <v>348</v>
      </c>
      <c r="C169" t="s">
        <v>143</v>
      </c>
      <c r="D169" t="s">
        <v>51</v>
      </c>
      <c r="E169" t="s">
        <v>72</v>
      </c>
      <c r="F169" s="4">
        <v>20</v>
      </c>
      <c r="G169" s="4">
        <v>1200</v>
      </c>
      <c r="H169" s="4">
        <v>24000</v>
      </c>
      <c r="I169" s="33"/>
      <c r="J169" s="28" t="s">
        <v>143</v>
      </c>
      <c r="K169" s="28" t="str" cm="1">
        <f t="array" ref="K169">_xlfn.XLOOKUP(C169,_xlfn.ANCHORARRAY($M$2),$N$2:$N$9)</f>
        <v>Laptop</v>
      </c>
      <c r="L169" s="33"/>
      <c r="M169" s="33"/>
      <c r="N169" s="33"/>
      <c r="O169" s="33"/>
    </row>
    <row r="170" spans="1:15">
      <c r="A170" s="3">
        <v>45678</v>
      </c>
      <c r="B170" t="s">
        <v>350</v>
      </c>
      <c r="C170" t="s">
        <v>10</v>
      </c>
      <c r="D170" t="s">
        <v>29</v>
      </c>
      <c r="E170" t="s">
        <v>30</v>
      </c>
      <c r="F170" s="4">
        <v>12</v>
      </c>
      <c r="G170" s="4">
        <v>15000</v>
      </c>
      <c r="H170" s="4">
        <v>180000</v>
      </c>
      <c r="I170" s="33"/>
      <c r="J170" s="28" t="s">
        <v>10</v>
      </c>
      <c r="K170" s="28" t="str" cm="1">
        <f t="array" ref="K170">_xlfn.XLOOKUP(C170,_xlfn.ANCHORARRAY($M$2),$N$2:$N$9)</f>
        <v>Laptop</v>
      </c>
      <c r="L170" s="33"/>
      <c r="M170" s="33"/>
      <c r="N170" s="33"/>
      <c r="O170" s="33"/>
    </row>
    <row r="171" spans="1:15">
      <c r="A171" s="3">
        <v>45715</v>
      </c>
      <c r="B171" t="s">
        <v>352</v>
      </c>
      <c r="C171" t="s">
        <v>10</v>
      </c>
      <c r="D171" t="s">
        <v>29</v>
      </c>
      <c r="E171" t="s">
        <v>20</v>
      </c>
      <c r="F171" s="4">
        <v>27</v>
      </c>
      <c r="G171" s="4">
        <v>30000</v>
      </c>
      <c r="H171" s="4">
        <v>810000</v>
      </c>
      <c r="I171" s="33"/>
      <c r="J171" s="28" t="s">
        <v>10</v>
      </c>
      <c r="K171" s="28" t="str" cm="1">
        <f t="array" ref="K171">_xlfn.XLOOKUP(C171,_xlfn.ANCHORARRAY($M$2),$N$2:$N$9)</f>
        <v>Laptop</v>
      </c>
      <c r="L171" s="33"/>
      <c r="M171" s="33"/>
      <c r="N171" s="33"/>
      <c r="O171" s="33"/>
    </row>
    <row r="172" spans="1:15">
      <c r="A172" s="3">
        <v>45693</v>
      </c>
      <c r="B172" t="s">
        <v>354</v>
      </c>
      <c r="C172" t="s">
        <v>23</v>
      </c>
      <c r="D172" t="s">
        <v>51</v>
      </c>
      <c r="E172" t="s">
        <v>20</v>
      </c>
      <c r="F172" s="4">
        <v>43</v>
      </c>
      <c r="G172" s="4">
        <v>50000</v>
      </c>
      <c r="H172" s="4">
        <v>2150000</v>
      </c>
      <c r="I172" s="33"/>
      <c r="J172" s="28" t="s">
        <v>23</v>
      </c>
      <c r="K172" s="28" t="str" cm="1">
        <f t="array" ref="K172">_xlfn.XLOOKUP(C172,_xlfn.ANCHORARRAY($M$2),$N$2:$N$9)</f>
        <v>Mobile</v>
      </c>
      <c r="L172" s="33"/>
      <c r="M172" s="33"/>
      <c r="N172" s="33"/>
      <c r="O172" s="33"/>
    </row>
    <row r="173" spans="1:15">
      <c r="A173" s="3">
        <v>45835</v>
      </c>
      <c r="B173" t="s">
        <v>355</v>
      </c>
      <c r="C173" t="s">
        <v>19</v>
      </c>
      <c r="D173" t="s">
        <v>11</v>
      </c>
      <c r="E173" t="s">
        <v>72</v>
      </c>
      <c r="F173" s="4">
        <v>5</v>
      </c>
      <c r="G173" s="4">
        <v>30000</v>
      </c>
      <c r="H173" s="4">
        <v>150000</v>
      </c>
      <c r="I173" s="33"/>
      <c r="J173" s="28" t="s">
        <v>19</v>
      </c>
      <c r="K173" s="28" t="str" cm="1">
        <f t="array" ref="K173">_xlfn.XLOOKUP(C173,_xlfn.ANCHORARRAY($M$2),$N$2:$N$9)</f>
        <v>Tablet</v>
      </c>
      <c r="L173" s="33"/>
      <c r="M173" s="33"/>
      <c r="N173" s="33"/>
      <c r="O173" s="33"/>
    </row>
    <row r="174" spans="1:15">
      <c r="A174" s="3">
        <v>45838</v>
      </c>
      <c r="B174" t="s">
        <v>357</v>
      </c>
      <c r="C174" t="s">
        <v>10</v>
      </c>
      <c r="D174" t="s">
        <v>51</v>
      </c>
      <c r="E174" t="s">
        <v>33</v>
      </c>
      <c r="F174" s="4">
        <v>18</v>
      </c>
      <c r="G174" s="4">
        <v>50000</v>
      </c>
      <c r="H174" s="4">
        <v>900000</v>
      </c>
      <c r="I174" s="33"/>
      <c r="J174" s="28" t="s">
        <v>10</v>
      </c>
      <c r="K174" s="28" t="str" cm="1">
        <f t="array" ref="K174">_xlfn.XLOOKUP(C174,_xlfn.ANCHORARRAY($M$2),$N$2:$N$9)</f>
        <v>Laptop</v>
      </c>
      <c r="L174" s="33"/>
      <c r="M174" s="33"/>
      <c r="N174" s="33"/>
      <c r="O174" s="33"/>
    </row>
    <row r="175" spans="1:15">
      <c r="A175" s="3">
        <v>45780</v>
      </c>
      <c r="B175" t="s">
        <v>358</v>
      </c>
      <c r="C175" t="s">
        <v>15</v>
      </c>
      <c r="D175" t="s">
        <v>29</v>
      </c>
      <c r="E175" t="s">
        <v>38</v>
      </c>
      <c r="F175" s="4">
        <v>13</v>
      </c>
      <c r="G175" s="4">
        <v>30000</v>
      </c>
      <c r="H175" s="4">
        <v>390000</v>
      </c>
      <c r="I175" s="33"/>
      <c r="J175" s="28" t="s">
        <v>15</v>
      </c>
      <c r="K175" s="28" t="str" cm="1">
        <f t="array" ref="K175">_xlfn.XLOOKUP(C175,_xlfn.ANCHORARRAY($M$2),$N$2:$N$9)</f>
        <v>Accessories</v>
      </c>
      <c r="L175" s="33"/>
      <c r="M175" s="33"/>
      <c r="N175" s="33"/>
      <c r="O175" s="33"/>
    </row>
    <row r="176" spans="1:15">
      <c r="A176" s="3">
        <v>45825</v>
      </c>
      <c r="B176" t="s">
        <v>360</v>
      </c>
      <c r="C176" t="s">
        <v>10</v>
      </c>
      <c r="D176" t="s">
        <v>24</v>
      </c>
      <c r="E176" t="s">
        <v>72</v>
      </c>
      <c r="F176" s="4">
        <v>14</v>
      </c>
      <c r="G176" s="4">
        <v>30000</v>
      </c>
      <c r="H176" s="4">
        <v>420000</v>
      </c>
      <c r="I176" s="33"/>
      <c r="J176" s="28" t="s">
        <v>10</v>
      </c>
      <c r="K176" s="28" t="str" cm="1">
        <f t="array" ref="K176">_xlfn.XLOOKUP(C176,_xlfn.ANCHORARRAY($M$2),$N$2:$N$9)</f>
        <v>Laptop</v>
      </c>
      <c r="L176" s="33"/>
      <c r="M176" s="33"/>
      <c r="N176" s="33"/>
      <c r="O176" s="33"/>
    </row>
    <row r="177" spans="1:15">
      <c r="A177" s="3">
        <v>45767</v>
      </c>
      <c r="B177" t="s">
        <v>362</v>
      </c>
      <c r="C177" t="s">
        <v>19</v>
      </c>
      <c r="D177" t="s">
        <v>24</v>
      </c>
      <c r="E177" t="s">
        <v>61</v>
      </c>
      <c r="F177" s="4">
        <v>50</v>
      </c>
      <c r="G177" s="4">
        <v>30000</v>
      </c>
      <c r="H177" s="4">
        <v>1500000</v>
      </c>
      <c r="I177" s="33"/>
      <c r="J177" s="28" t="s">
        <v>19</v>
      </c>
      <c r="K177" s="28" t="str" cm="1">
        <f t="array" ref="K177">_xlfn.XLOOKUP(C177,_xlfn.ANCHORARRAY($M$2),$N$2:$N$9)</f>
        <v>Tablet</v>
      </c>
      <c r="L177" s="33"/>
      <c r="M177" s="33"/>
      <c r="N177" s="33"/>
      <c r="O177" s="33"/>
    </row>
    <row r="178" spans="1:15">
      <c r="A178" s="3">
        <v>45724</v>
      </c>
      <c r="B178" t="s">
        <v>364</v>
      </c>
      <c r="C178" t="s">
        <v>23</v>
      </c>
      <c r="D178" t="s">
        <v>29</v>
      </c>
      <c r="E178" t="s">
        <v>16</v>
      </c>
      <c r="F178" s="4">
        <v>6</v>
      </c>
      <c r="G178" s="4">
        <v>800</v>
      </c>
      <c r="H178" s="4">
        <v>4800</v>
      </c>
      <c r="I178" s="33"/>
      <c r="J178" s="28" t="s">
        <v>23</v>
      </c>
      <c r="K178" s="28" t="str" cm="1">
        <f t="array" ref="K178">_xlfn.XLOOKUP(C178,_xlfn.ANCHORARRAY($M$2),$N$2:$N$9)</f>
        <v>Mobile</v>
      </c>
      <c r="L178" s="33"/>
      <c r="M178" s="33"/>
      <c r="N178" s="33"/>
      <c r="O178" s="33"/>
    </row>
    <row r="179" spans="1:15">
      <c r="A179" s="3">
        <v>45827</v>
      </c>
      <c r="B179" t="s">
        <v>365</v>
      </c>
      <c r="C179" t="s">
        <v>23</v>
      </c>
      <c r="D179" t="s">
        <v>11</v>
      </c>
      <c r="E179" t="s">
        <v>16</v>
      </c>
      <c r="F179" s="4">
        <v>29</v>
      </c>
      <c r="G179" s="4">
        <v>800</v>
      </c>
      <c r="H179" s="4">
        <v>23200</v>
      </c>
      <c r="I179" s="33"/>
      <c r="J179" s="28" t="s">
        <v>23</v>
      </c>
      <c r="K179" s="28" t="str" cm="1">
        <f t="array" ref="K179">_xlfn.XLOOKUP(C179,_xlfn.ANCHORARRAY($M$2),$N$2:$N$9)</f>
        <v>Mobile</v>
      </c>
      <c r="L179" s="33"/>
      <c r="M179" s="33"/>
      <c r="N179" s="33"/>
      <c r="O179" s="33"/>
    </row>
    <row r="180" spans="1:15">
      <c r="A180" s="3">
        <v>45748</v>
      </c>
      <c r="B180" t="s">
        <v>367</v>
      </c>
      <c r="C180" t="s">
        <v>15</v>
      </c>
      <c r="D180" t="s">
        <v>29</v>
      </c>
      <c r="E180" t="s">
        <v>38</v>
      </c>
      <c r="F180" s="4">
        <v>12</v>
      </c>
      <c r="G180" s="4">
        <v>25000</v>
      </c>
      <c r="H180" s="4">
        <v>300434</v>
      </c>
      <c r="I180" s="33"/>
      <c r="J180" s="28" t="s">
        <v>15</v>
      </c>
      <c r="K180" s="28" t="str" cm="1">
        <f t="array" ref="K180">_xlfn.XLOOKUP(C180,_xlfn.ANCHORARRAY($M$2),$N$2:$N$9)</f>
        <v>Accessories</v>
      </c>
      <c r="L180" s="33"/>
      <c r="M180" s="33"/>
      <c r="N180" s="33"/>
      <c r="O180" s="33"/>
    </row>
    <row r="181" spans="1:15">
      <c r="A181" s="3">
        <v>45741</v>
      </c>
      <c r="B181" t="s">
        <v>369</v>
      </c>
      <c r="C181" t="s">
        <v>19</v>
      </c>
      <c r="D181" t="s">
        <v>11</v>
      </c>
      <c r="E181" t="s">
        <v>30</v>
      </c>
      <c r="F181" s="4">
        <v>28</v>
      </c>
      <c r="G181" s="4">
        <v>25000</v>
      </c>
      <c r="H181" s="4">
        <v>700343</v>
      </c>
      <c r="I181" s="33"/>
      <c r="J181" s="28" t="s">
        <v>19</v>
      </c>
      <c r="K181" s="28" t="str" cm="1">
        <f t="array" ref="K181">_xlfn.XLOOKUP(C181,_xlfn.ANCHORARRAY($M$2),$N$2:$N$9)</f>
        <v>Tablet</v>
      </c>
      <c r="L181" s="33"/>
      <c r="M181" s="33"/>
      <c r="N181" s="33"/>
      <c r="O181" s="33"/>
    </row>
    <row r="182" spans="1:15">
      <c r="A182" s="3">
        <v>45783</v>
      </c>
      <c r="B182" t="s">
        <v>372</v>
      </c>
      <c r="C182" t="s">
        <v>10</v>
      </c>
      <c r="D182" t="s">
        <v>51</v>
      </c>
      <c r="E182" t="s">
        <v>16</v>
      </c>
      <c r="F182" s="4">
        <v>28</v>
      </c>
      <c r="G182" s="4">
        <v>30000</v>
      </c>
      <c r="H182" s="4">
        <v>840000</v>
      </c>
      <c r="I182" s="33"/>
      <c r="J182" s="28" t="s">
        <v>10</v>
      </c>
      <c r="K182" s="28" t="str" cm="1">
        <f t="array" ref="K182">_xlfn.XLOOKUP(C182,_xlfn.ANCHORARRAY($M$2),$N$2:$N$9)</f>
        <v>Laptop</v>
      </c>
      <c r="L182" s="33"/>
      <c r="M182" s="33"/>
      <c r="N182" s="33"/>
      <c r="O182" s="33"/>
    </row>
    <row r="183" spans="1:15">
      <c r="A183" s="3">
        <v>45789</v>
      </c>
      <c r="B183" t="s">
        <v>373</v>
      </c>
      <c r="C183" t="s">
        <v>116</v>
      </c>
      <c r="D183" t="s">
        <v>11</v>
      </c>
      <c r="E183" t="s">
        <v>20</v>
      </c>
      <c r="F183" s="4">
        <v>15</v>
      </c>
      <c r="G183" s="4">
        <v>800</v>
      </c>
      <c r="H183" s="4">
        <v>12000</v>
      </c>
      <c r="I183" s="33"/>
      <c r="J183" s="28" t="s">
        <v>116</v>
      </c>
      <c r="K183" s="28" t="str" cm="1">
        <f t="array" ref="K183">_xlfn.XLOOKUP(C183,_xlfn.ANCHORARRAY($M$2),$N$2:$N$9)</f>
        <v>Mobile</v>
      </c>
      <c r="L183" s="33"/>
      <c r="M183" s="33"/>
      <c r="N183" s="33"/>
      <c r="O183" s="33"/>
    </row>
    <row r="184" spans="1:15">
      <c r="A184" s="3">
        <v>45836</v>
      </c>
      <c r="B184" t="s">
        <v>375</v>
      </c>
      <c r="C184" t="s">
        <v>23</v>
      </c>
      <c r="D184" t="s">
        <v>11</v>
      </c>
      <c r="E184" t="s">
        <v>20</v>
      </c>
      <c r="F184" s="4">
        <v>32</v>
      </c>
      <c r="G184" s="4">
        <v>800</v>
      </c>
      <c r="H184" s="4">
        <v>25600</v>
      </c>
      <c r="I184" s="33"/>
      <c r="J184" s="28" t="s">
        <v>23</v>
      </c>
      <c r="K184" s="28" t="str" cm="1">
        <f t="array" ref="K184">_xlfn.XLOOKUP(C184,_xlfn.ANCHORARRAY($M$2),$N$2:$N$9)</f>
        <v>Mobile</v>
      </c>
      <c r="L184" s="33"/>
      <c r="M184" s="33"/>
      <c r="N184" s="33"/>
      <c r="O184" s="33"/>
    </row>
    <row r="185" spans="1:15">
      <c r="A185" s="3">
        <v>45775</v>
      </c>
      <c r="B185" t="s">
        <v>376</v>
      </c>
      <c r="C185" t="s">
        <v>10</v>
      </c>
      <c r="D185" t="s">
        <v>51</v>
      </c>
      <c r="E185" t="s">
        <v>72</v>
      </c>
      <c r="F185" s="4">
        <v>21</v>
      </c>
      <c r="G185" s="4">
        <v>1200</v>
      </c>
      <c r="H185" s="4">
        <v>25200</v>
      </c>
      <c r="I185" s="33"/>
      <c r="J185" s="28" t="s">
        <v>10</v>
      </c>
      <c r="K185" s="28" t="str" cm="1">
        <f t="array" ref="K185">_xlfn.XLOOKUP(C185,_xlfn.ANCHORARRAY($M$2),$N$2:$N$9)</f>
        <v>Laptop</v>
      </c>
      <c r="L185" s="33"/>
      <c r="M185" s="33"/>
      <c r="N185" s="33"/>
      <c r="O185" s="33"/>
    </row>
    <row r="186" spans="1:15">
      <c r="A186" s="3">
        <v>45754</v>
      </c>
      <c r="B186" t="s">
        <v>378</v>
      </c>
      <c r="C186" t="s">
        <v>23</v>
      </c>
      <c r="D186" t="s">
        <v>51</v>
      </c>
      <c r="E186" t="s">
        <v>30</v>
      </c>
      <c r="F186" s="4">
        <v>28</v>
      </c>
      <c r="G186" s="4">
        <v>25000</v>
      </c>
      <c r="H186" s="4">
        <v>700000</v>
      </c>
      <c r="I186" s="33"/>
      <c r="J186" s="28" t="s">
        <v>23</v>
      </c>
      <c r="K186" s="28" t="str" cm="1">
        <f t="array" ref="K186">_xlfn.XLOOKUP(C186,_xlfn.ANCHORARRAY($M$2),$N$2:$N$9)</f>
        <v>Mobile</v>
      </c>
      <c r="L186" s="33"/>
      <c r="M186" s="33"/>
      <c r="N186" s="33"/>
      <c r="O186" s="33"/>
    </row>
    <row r="187" spans="1:15">
      <c r="A187" s="3">
        <v>45789</v>
      </c>
      <c r="B187" t="s">
        <v>379</v>
      </c>
      <c r="C187" t="s">
        <v>23</v>
      </c>
      <c r="D187" t="s">
        <v>24</v>
      </c>
      <c r="E187" t="s">
        <v>38</v>
      </c>
      <c r="F187" s="4">
        <v>30</v>
      </c>
      <c r="G187" s="4">
        <v>15000</v>
      </c>
      <c r="H187" s="4">
        <v>450000</v>
      </c>
      <c r="I187" s="33"/>
      <c r="J187" s="28" t="s">
        <v>23</v>
      </c>
      <c r="K187" s="28" t="str" cm="1">
        <f t="array" ref="K187">_xlfn.XLOOKUP(C187,_xlfn.ANCHORARRAY($M$2),$N$2:$N$9)</f>
        <v>Mobile</v>
      </c>
      <c r="L187" s="33"/>
      <c r="M187" s="33"/>
      <c r="N187" s="33"/>
      <c r="O187" s="33"/>
    </row>
    <row r="188" spans="1:15">
      <c r="A188" s="3">
        <v>45967</v>
      </c>
      <c r="B188" t="s">
        <v>381</v>
      </c>
      <c r="C188" t="s">
        <v>23</v>
      </c>
      <c r="D188" t="s">
        <v>24</v>
      </c>
      <c r="E188" t="s">
        <v>38</v>
      </c>
      <c r="F188" s="4">
        <v>27</v>
      </c>
      <c r="G188" s="4">
        <v>30000</v>
      </c>
      <c r="H188" s="4">
        <v>810000</v>
      </c>
      <c r="I188" s="33"/>
      <c r="J188" s="28" t="s">
        <v>23</v>
      </c>
      <c r="K188" s="28" t="str" cm="1">
        <f t="array" ref="K188">_xlfn.XLOOKUP(C188,_xlfn.ANCHORARRAY($M$2),$N$2:$N$9)</f>
        <v>Mobile</v>
      </c>
      <c r="L188" s="33"/>
      <c r="M188" s="33"/>
      <c r="N188" s="33"/>
      <c r="O188" s="33"/>
    </row>
    <row r="189" spans="1:15">
      <c r="A189" s="3">
        <v>45822</v>
      </c>
      <c r="B189" t="s">
        <v>383</v>
      </c>
      <c r="C189" t="s">
        <v>23</v>
      </c>
      <c r="D189" t="s">
        <v>24</v>
      </c>
      <c r="E189" t="s">
        <v>46</v>
      </c>
      <c r="F189" s="4">
        <v>3</v>
      </c>
      <c r="G189" s="4">
        <v>30000</v>
      </c>
      <c r="H189" s="4">
        <v>90000</v>
      </c>
      <c r="I189" s="33"/>
      <c r="J189" s="28" t="s">
        <v>23</v>
      </c>
      <c r="K189" s="28" t="str" cm="1">
        <f t="array" ref="K189">_xlfn.XLOOKUP(C189,_xlfn.ANCHORARRAY($M$2),$N$2:$N$9)</f>
        <v>Mobile</v>
      </c>
      <c r="L189" s="33"/>
      <c r="M189" s="33"/>
      <c r="N189" s="33"/>
      <c r="O189" s="33"/>
    </row>
    <row r="190" spans="1:15">
      <c r="A190" s="3">
        <v>45873</v>
      </c>
      <c r="B190" t="s">
        <v>385</v>
      </c>
      <c r="C190" t="s">
        <v>143</v>
      </c>
      <c r="D190" t="s">
        <v>51</v>
      </c>
      <c r="E190" t="s">
        <v>38</v>
      </c>
      <c r="F190" s="4">
        <v>43</v>
      </c>
      <c r="G190" s="4">
        <v>1200</v>
      </c>
      <c r="H190" s="4">
        <v>51600</v>
      </c>
      <c r="I190" s="33"/>
      <c r="J190" s="28" t="s">
        <v>143</v>
      </c>
      <c r="K190" s="28" t="str" cm="1">
        <f t="array" ref="K190">_xlfn.XLOOKUP(C190,_xlfn.ANCHORARRAY($M$2),$N$2:$N$9)</f>
        <v>Laptop</v>
      </c>
      <c r="L190" s="33"/>
      <c r="M190" s="33"/>
      <c r="N190" s="33"/>
      <c r="O190" s="33"/>
    </row>
    <row r="191" spans="1:15">
      <c r="A191" s="3">
        <v>45751</v>
      </c>
      <c r="B191" t="s">
        <v>387</v>
      </c>
      <c r="C191" t="s">
        <v>19</v>
      </c>
      <c r="D191" t="s">
        <v>29</v>
      </c>
      <c r="E191" t="s">
        <v>33</v>
      </c>
      <c r="F191" s="4">
        <v>27</v>
      </c>
      <c r="G191" s="4">
        <v>1200</v>
      </c>
      <c r="H191" s="4">
        <v>32400</v>
      </c>
      <c r="I191" s="33"/>
      <c r="J191" s="28" t="s">
        <v>19</v>
      </c>
      <c r="K191" s="28" t="str" cm="1">
        <f t="array" ref="K191">_xlfn.XLOOKUP(C191,_xlfn.ANCHORARRAY($M$2),$N$2:$N$9)</f>
        <v>Tablet</v>
      </c>
      <c r="L191" s="33"/>
      <c r="M191" s="33"/>
      <c r="N191" s="33"/>
      <c r="O191" s="33"/>
    </row>
    <row r="192" spans="1:15">
      <c r="A192" s="3">
        <v>45774</v>
      </c>
      <c r="B192" t="s">
        <v>389</v>
      </c>
      <c r="C192" t="s">
        <v>15</v>
      </c>
      <c r="D192" t="s">
        <v>29</v>
      </c>
      <c r="E192" t="s">
        <v>16</v>
      </c>
      <c r="F192" s="4">
        <v>49</v>
      </c>
      <c r="G192" s="4">
        <v>50000</v>
      </c>
      <c r="H192" s="4">
        <v>2450000</v>
      </c>
      <c r="I192" s="33"/>
      <c r="J192" s="28" t="s">
        <v>15</v>
      </c>
      <c r="K192" s="28" t="str" cm="1">
        <f t="array" ref="K192">_xlfn.XLOOKUP(C192,_xlfn.ANCHORARRAY($M$2),$N$2:$N$9)</f>
        <v>Accessories</v>
      </c>
      <c r="L192" s="33"/>
      <c r="M192" s="33"/>
      <c r="N192" s="33"/>
      <c r="O192" s="33"/>
    </row>
    <row r="193" spans="1:15">
      <c r="A193" s="3">
        <v>45671</v>
      </c>
      <c r="B193" t="s">
        <v>391</v>
      </c>
      <c r="C193" t="s">
        <v>15</v>
      </c>
      <c r="D193" t="s">
        <v>24</v>
      </c>
      <c r="E193" t="s">
        <v>38</v>
      </c>
      <c r="F193" s="4">
        <v>25</v>
      </c>
      <c r="G193" s="4">
        <v>25000</v>
      </c>
      <c r="H193" s="4">
        <v>625000</v>
      </c>
      <c r="I193" s="33"/>
      <c r="J193" s="28" t="s">
        <v>15</v>
      </c>
      <c r="K193" s="28" t="str" cm="1">
        <f t="array" ref="K193">_xlfn.XLOOKUP(C193,_xlfn.ANCHORARRAY($M$2),$N$2:$N$9)</f>
        <v>Accessories</v>
      </c>
      <c r="L193" s="33"/>
      <c r="M193" s="33"/>
      <c r="N193" s="33"/>
      <c r="O193" s="33"/>
    </row>
    <row r="194" spans="1:15">
      <c r="A194" s="3">
        <v>45791</v>
      </c>
      <c r="B194" t="s">
        <v>393</v>
      </c>
      <c r="C194" t="s">
        <v>15</v>
      </c>
      <c r="D194" t="s">
        <v>29</v>
      </c>
      <c r="E194" t="s">
        <v>72</v>
      </c>
      <c r="F194" s="4">
        <v>35</v>
      </c>
      <c r="G194" s="4">
        <v>15000</v>
      </c>
      <c r="H194" s="4">
        <v>525000</v>
      </c>
      <c r="I194" s="33"/>
      <c r="J194" s="28" t="s">
        <v>15</v>
      </c>
      <c r="K194" s="28" t="str" cm="1">
        <f t="array" ref="K194">_xlfn.XLOOKUP(C194,_xlfn.ANCHORARRAY($M$2),$N$2:$N$9)</f>
        <v>Accessories</v>
      </c>
      <c r="L194" s="33"/>
      <c r="M194" s="33"/>
      <c r="N194" s="33"/>
      <c r="O194" s="33"/>
    </row>
    <row r="195" spans="1:15">
      <c r="A195" s="3">
        <v>45962</v>
      </c>
      <c r="B195" t="s">
        <v>395</v>
      </c>
      <c r="C195" t="s">
        <v>23</v>
      </c>
      <c r="D195" t="s">
        <v>29</v>
      </c>
      <c r="E195" t="s">
        <v>38</v>
      </c>
      <c r="F195" s="4">
        <v>24</v>
      </c>
      <c r="G195" s="4">
        <v>800</v>
      </c>
      <c r="H195" s="4">
        <v>19200</v>
      </c>
      <c r="I195" s="33"/>
      <c r="J195" s="28" t="s">
        <v>23</v>
      </c>
      <c r="K195" s="28" t="str" cm="1">
        <f t="array" ref="K195">_xlfn.XLOOKUP(C195,_xlfn.ANCHORARRAY($M$2),$N$2:$N$9)</f>
        <v>Mobile</v>
      </c>
      <c r="L195" s="33"/>
      <c r="M195" s="33"/>
      <c r="N195" s="33"/>
      <c r="O195" s="33"/>
    </row>
    <row r="196" spans="1:15">
      <c r="A196" s="3">
        <v>45775</v>
      </c>
      <c r="B196" t="s">
        <v>396</v>
      </c>
      <c r="C196" t="s">
        <v>19</v>
      </c>
      <c r="D196" t="s">
        <v>29</v>
      </c>
      <c r="E196" t="s">
        <v>12</v>
      </c>
      <c r="F196" s="4">
        <v>16</v>
      </c>
      <c r="G196" s="4">
        <v>1200</v>
      </c>
      <c r="H196" s="4">
        <v>19200</v>
      </c>
      <c r="I196" s="33"/>
      <c r="J196" s="28" t="s">
        <v>19</v>
      </c>
      <c r="K196" s="28" t="str" cm="1">
        <f t="array" ref="K196">_xlfn.XLOOKUP(C196,_xlfn.ANCHORARRAY($M$2),$N$2:$N$9)</f>
        <v>Tablet</v>
      </c>
      <c r="L196" s="33"/>
      <c r="M196" s="33"/>
      <c r="N196" s="33"/>
      <c r="O196" s="33"/>
    </row>
    <row r="197" spans="1:15">
      <c r="A197" s="3">
        <v>45703</v>
      </c>
      <c r="B197" t="s">
        <v>398</v>
      </c>
      <c r="C197" t="s">
        <v>15</v>
      </c>
      <c r="D197" t="s">
        <v>29</v>
      </c>
      <c r="E197" t="s">
        <v>46</v>
      </c>
      <c r="F197" s="4">
        <v>19</v>
      </c>
      <c r="G197" s="4">
        <v>30000</v>
      </c>
      <c r="H197" s="4">
        <v>570000</v>
      </c>
      <c r="I197" s="33"/>
      <c r="J197" s="28" t="s">
        <v>15</v>
      </c>
      <c r="K197" s="28" t="str" cm="1">
        <f t="array" ref="K197">_xlfn.XLOOKUP(C197,_xlfn.ANCHORARRAY($M$2),$N$2:$N$9)</f>
        <v>Accessories</v>
      </c>
      <c r="L197" s="33"/>
      <c r="M197" s="33"/>
      <c r="N197" s="33"/>
      <c r="O197" s="33"/>
    </row>
    <row r="198" spans="1:15">
      <c r="A198" s="3">
        <v>45836</v>
      </c>
      <c r="B198" t="s">
        <v>399</v>
      </c>
      <c r="C198" t="s">
        <v>23</v>
      </c>
      <c r="D198" t="s">
        <v>29</v>
      </c>
      <c r="E198" t="s">
        <v>72</v>
      </c>
      <c r="F198" s="4">
        <v>12</v>
      </c>
      <c r="G198" s="4">
        <v>800</v>
      </c>
      <c r="H198" s="4">
        <v>9600</v>
      </c>
      <c r="I198" s="33"/>
      <c r="J198" s="28" t="s">
        <v>23</v>
      </c>
      <c r="K198" s="28" t="str" cm="1">
        <f t="array" ref="K198">_xlfn.XLOOKUP(C198,_xlfn.ANCHORARRAY($M$2),$N$2:$N$9)</f>
        <v>Mobile</v>
      </c>
      <c r="L198" s="33"/>
      <c r="M198" s="33"/>
      <c r="N198" s="33"/>
      <c r="O198" s="33"/>
    </row>
    <row r="199" spans="1:15">
      <c r="A199" s="3">
        <v>45781</v>
      </c>
      <c r="B199" t="s">
        <v>400</v>
      </c>
      <c r="C199" t="s">
        <v>23</v>
      </c>
      <c r="D199" t="s">
        <v>51</v>
      </c>
      <c r="E199" t="s">
        <v>25</v>
      </c>
      <c r="F199" s="4">
        <v>23</v>
      </c>
      <c r="G199" s="4">
        <v>1200</v>
      </c>
      <c r="H199" s="4">
        <v>27600</v>
      </c>
      <c r="I199" s="33"/>
      <c r="J199" s="28" t="s">
        <v>23</v>
      </c>
      <c r="K199" s="28" t="str" cm="1">
        <f t="array" ref="K199">_xlfn.XLOOKUP(C199,_xlfn.ANCHORARRAY($M$2),$N$2:$N$9)</f>
        <v>Mobile</v>
      </c>
      <c r="L199" s="33"/>
      <c r="M199" s="33"/>
      <c r="N199" s="33"/>
      <c r="O199" s="33"/>
    </row>
    <row r="200" spans="1:15">
      <c r="A200" s="3">
        <v>45766</v>
      </c>
      <c r="B200" t="s">
        <v>402</v>
      </c>
      <c r="C200" t="s">
        <v>10</v>
      </c>
      <c r="D200" t="s">
        <v>24</v>
      </c>
      <c r="E200" t="s">
        <v>12</v>
      </c>
      <c r="F200" s="4">
        <v>5</v>
      </c>
      <c r="G200" s="4">
        <v>1200</v>
      </c>
      <c r="H200" s="4">
        <v>6000</v>
      </c>
      <c r="I200" s="33"/>
      <c r="J200" s="28" t="s">
        <v>10</v>
      </c>
      <c r="K200" s="28" t="str" cm="1">
        <f t="array" ref="K200">_xlfn.XLOOKUP(C200,_xlfn.ANCHORARRAY($M$2),$N$2:$N$9)</f>
        <v>Laptop</v>
      </c>
      <c r="L200" s="33"/>
      <c r="M200" s="33"/>
      <c r="N200" s="33"/>
      <c r="O200" s="33"/>
    </row>
    <row r="201" spans="1:15">
      <c r="A201" s="3">
        <v>45819</v>
      </c>
      <c r="B201" t="s">
        <v>403</v>
      </c>
      <c r="C201" t="s">
        <v>15</v>
      </c>
      <c r="D201" t="s">
        <v>11</v>
      </c>
      <c r="E201" t="s">
        <v>16</v>
      </c>
      <c r="F201" s="4">
        <v>44</v>
      </c>
      <c r="G201" s="4">
        <v>1200</v>
      </c>
      <c r="H201" s="4">
        <v>52800</v>
      </c>
      <c r="I201" s="33"/>
      <c r="J201" s="28" t="s">
        <v>15</v>
      </c>
      <c r="K201" s="28" t="str" cm="1">
        <f t="array" ref="K201">_xlfn.XLOOKUP(C201,_xlfn.ANCHORARRAY($M$2),$N$2:$N$9)</f>
        <v>Accessories</v>
      </c>
      <c r="L201" s="33"/>
      <c r="M201" s="33"/>
      <c r="N201" s="33"/>
      <c r="O201" s="33"/>
    </row>
    <row r="202" spans="1:15">
      <c r="A202" s="3">
        <v>45772</v>
      </c>
      <c r="B202" t="s">
        <v>405</v>
      </c>
      <c r="C202" t="s">
        <v>19</v>
      </c>
      <c r="D202" t="s">
        <v>24</v>
      </c>
      <c r="E202" t="s">
        <v>20</v>
      </c>
      <c r="F202" s="4">
        <v>46</v>
      </c>
      <c r="G202" s="4">
        <v>25000</v>
      </c>
      <c r="H202" s="4">
        <v>1150000</v>
      </c>
      <c r="I202" s="33"/>
      <c r="J202" s="28" t="s">
        <v>19</v>
      </c>
      <c r="K202" s="28" t="str" cm="1">
        <f t="array" ref="K202">_xlfn.XLOOKUP(C202,_xlfn.ANCHORARRAY($M$2),$N$2:$N$9)</f>
        <v>Tablet</v>
      </c>
      <c r="L202" s="33"/>
      <c r="M202" s="33"/>
      <c r="N202" s="33"/>
      <c r="O202" s="33"/>
    </row>
    <row r="203" spans="1:15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</row>
  </sheetData>
  <mergeCells count="3">
    <mergeCell ref="J1:K1"/>
    <mergeCell ref="A1:H1"/>
    <mergeCell ref="M1:N1"/>
  </mergeCells>
  <conditionalFormatting sqref="F3:H202">
    <cfRule type="expression" dxfId="1" priority="3">
      <formula>ISBLANK(F3)</formula>
    </cfRule>
  </conditionalFormatting>
  <conditionalFormatting sqref="J3:J202">
    <cfRule type="expression" dxfId="0" priority="9">
      <formula>OR($J3="Tabllet",$J3="Moblie",$J3=$M$8,$J3=$M$9)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D27D5-F102-4954-9FE8-0D248FCC0048}">
  <dimension ref="A1:I205"/>
  <sheetViews>
    <sheetView topLeftCell="A2" workbookViewId="0">
      <selection activeCell="K8" sqref="K8"/>
    </sheetView>
  </sheetViews>
  <sheetFormatPr defaultRowHeight="15"/>
  <cols>
    <col min="1" max="1" width="12.140625" customWidth="1"/>
    <col min="2" max="2" width="10.140625" customWidth="1"/>
    <col min="3" max="3" width="12.140625" customWidth="1"/>
    <col min="4" max="4" width="11.5703125" customWidth="1"/>
    <col min="5" max="5" width="12.85546875" customWidth="1"/>
    <col min="6" max="6" width="10.5703125" customWidth="1"/>
    <col min="7" max="7" width="11.7109375" customWidth="1"/>
    <col min="8" max="8" width="13.28515625" customWidth="1"/>
  </cols>
  <sheetData>
    <row r="1" spans="1:9">
      <c r="A1" s="74" t="s">
        <v>432</v>
      </c>
      <c r="B1" s="74"/>
      <c r="C1" s="74"/>
      <c r="D1" s="74"/>
      <c r="E1" s="74"/>
      <c r="F1" s="74"/>
      <c r="G1" s="74"/>
      <c r="H1" s="74"/>
      <c r="I1" s="33"/>
    </row>
    <row r="2" spans="1:9">
      <c r="A2" s="74"/>
      <c r="B2" s="74"/>
      <c r="C2" s="74"/>
      <c r="D2" s="74"/>
      <c r="E2" s="74"/>
      <c r="F2" s="74"/>
      <c r="G2" s="74"/>
      <c r="H2" s="74"/>
      <c r="I2" s="33"/>
    </row>
    <row r="3" spans="1:9">
      <c r="A3" s="49" t="s">
        <v>0</v>
      </c>
      <c r="B3" s="49" t="s">
        <v>1</v>
      </c>
      <c r="C3" s="49" t="s">
        <v>2</v>
      </c>
      <c r="D3" s="49" t="s">
        <v>3</v>
      </c>
      <c r="E3" s="49" t="s">
        <v>433</v>
      </c>
      <c r="F3" s="49" t="s">
        <v>5</v>
      </c>
      <c r="G3" s="49" t="s">
        <v>6</v>
      </c>
      <c r="H3" s="49" t="s">
        <v>7</v>
      </c>
      <c r="I3" s="33"/>
    </row>
    <row r="4" spans="1:9">
      <c r="A4" s="30">
        <v>45775</v>
      </c>
      <c r="B4" s="28" t="s">
        <v>9</v>
      </c>
      <c r="C4" s="28" t="s">
        <v>10</v>
      </c>
      <c r="D4" s="28" t="s">
        <v>11</v>
      </c>
      <c r="E4" s="28" t="s">
        <v>12</v>
      </c>
      <c r="F4" s="31">
        <v>27</v>
      </c>
      <c r="G4" s="31">
        <v>1200</v>
      </c>
      <c r="H4" s="31">
        <v>32400</v>
      </c>
      <c r="I4" s="33"/>
    </row>
    <row r="5" spans="1:9">
      <c r="A5" s="30">
        <v>45755</v>
      </c>
      <c r="B5" s="28" t="s">
        <v>14</v>
      </c>
      <c r="C5" s="28" t="s">
        <v>15</v>
      </c>
      <c r="D5" s="28" t="s">
        <v>11</v>
      </c>
      <c r="E5" s="28" t="s">
        <v>16</v>
      </c>
      <c r="F5" s="31">
        <v>30</v>
      </c>
      <c r="G5" s="31">
        <v>25000</v>
      </c>
      <c r="H5" s="31">
        <v>750000</v>
      </c>
      <c r="I5" s="33"/>
    </row>
    <row r="6" spans="1:9">
      <c r="A6" s="30">
        <v>45718</v>
      </c>
      <c r="B6" s="28" t="s">
        <v>18</v>
      </c>
      <c r="C6" s="28" t="s">
        <v>19</v>
      </c>
      <c r="D6" s="28" t="s">
        <v>11</v>
      </c>
      <c r="E6" s="28" t="s">
        <v>20</v>
      </c>
      <c r="F6" s="31">
        <v>23</v>
      </c>
      <c r="G6" s="31">
        <v>25000</v>
      </c>
      <c r="H6" s="31">
        <v>575000</v>
      </c>
      <c r="I6" s="33"/>
    </row>
    <row r="7" spans="1:9">
      <c r="A7" s="30">
        <v>45693</v>
      </c>
      <c r="B7" s="28" t="s">
        <v>22</v>
      </c>
      <c r="C7" s="28" t="s">
        <v>23</v>
      </c>
      <c r="D7" s="28" t="s">
        <v>24</v>
      </c>
      <c r="E7" s="28" t="s">
        <v>25</v>
      </c>
      <c r="F7" s="31">
        <v>6</v>
      </c>
      <c r="G7" s="31">
        <v>800</v>
      </c>
      <c r="H7" s="31">
        <v>4800</v>
      </c>
      <c r="I7" s="33"/>
    </row>
    <row r="8" spans="1:9">
      <c r="A8" s="30">
        <v>45706</v>
      </c>
      <c r="B8" s="28" t="s">
        <v>27</v>
      </c>
      <c r="C8" s="28" t="s">
        <v>23</v>
      </c>
      <c r="D8" s="28" t="s">
        <v>29</v>
      </c>
      <c r="E8" s="28" t="s">
        <v>30</v>
      </c>
      <c r="F8" s="31">
        <v>45</v>
      </c>
      <c r="G8" s="31">
        <v>30000</v>
      </c>
      <c r="H8" s="31">
        <v>1350000</v>
      </c>
      <c r="I8" s="33"/>
    </row>
    <row r="9" spans="1:9">
      <c r="A9" s="30">
        <v>45708</v>
      </c>
      <c r="B9" s="28" t="s">
        <v>32</v>
      </c>
      <c r="C9" s="28" t="s">
        <v>15</v>
      </c>
      <c r="D9" s="28" t="s">
        <v>24</v>
      </c>
      <c r="E9" s="28" t="s">
        <v>33</v>
      </c>
      <c r="F9" s="31">
        <v>23</v>
      </c>
      <c r="G9" s="31">
        <v>1200</v>
      </c>
      <c r="H9" s="31">
        <v>27600</v>
      </c>
      <c r="I9" s="33"/>
    </row>
    <row r="10" spans="1:9">
      <c r="A10" s="30">
        <v>45814</v>
      </c>
      <c r="B10" s="28" t="s">
        <v>35</v>
      </c>
      <c r="C10" s="28" t="s">
        <v>19</v>
      </c>
      <c r="D10" s="28" t="s">
        <v>11</v>
      </c>
      <c r="E10" s="28" t="s">
        <v>20</v>
      </c>
      <c r="F10" s="31">
        <v>16</v>
      </c>
      <c r="G10" s="31">
        <v>800</v>
      </c>
      <c r="H10" s="31">
        <v>12800</v>
      </c>
      <c r="I10" s="33"/>
    </row>
    <row r="11" spans="1:9">
      <c r="A11" s="30">
        <v>45751</v>
      </c>
      <c r="B11" s="28" t="s">
        <v>37</v>
      </c>
      <c r="C11" s="28" t="s">
        <v>23</v>
      </c>
      <c r="D11" s="28" t="s">
        <v>24</v>
      </c>
      <c r="E11" s="28" t="s">
        <v>38</v>
      </c>
      <c r="F11" s="31">
        <v>50</v>
      </c>
      <c r="G11" s="31">
        <v>50000</v>
      </c>
      <c r="H11" s="31">
        <v>2500000</v>
      </c>
      <c r="I11" s="33"/>
    </row>
    <row r="12" spans="1:9">
      <c r="A12" s="30">
        <v>45661</v>
      </c>
      <c r="B12" s="28" t="s">
        <v>40</v>
      </c>
      <c r="C12" s="28" t="s">
        <v>15</v>
      </c>
      <c r="D12" s="28" t="s">
        <v>24</v>
      </c>
      <c r="E12" s="28" t="s">
        <v>20</v>
      </c>
      <c r="F12" s="31">
        <v>37</v>
      </c>
      <c r="G12" s="31">
        <v>15000</v>
      </c>
      <c r="H12" s="31">
        <v>555000</v>
      </c>
      <c r="I12" s="33"/>
    </row>
    <row r="13" spans="1:9">
      <c r="A13" s="30">
        <v>45844</v>
      </c>
      <c r="B13" s="28" t="s">
        <v>43</v>
      </c>
      <c r="C13" s="28" t="s">
        <v>10</v>
      </c>
      <c r="D13" s="28" t="s">
        <v>11</v>
      </c>
      <c r="E13" s="28" t="s">
        <v>25</v>
      </c>
      <c r="F13" s="31">
        <v>40</v>
      </c>
      <c r="G13" s="31">
        <v>800</v>
      </c>
      <c r="H13" s="31">
        <v>32000</v>
      </c>
      <c r="I13" s="33"/>
    </row>
    <row r="14" spans="1:9">
      <c r="A14" s="30">
        <v>45731</v>
      </c>
      <c r="B14" s="28" t="s">
        <v>45</v>
      </c>
      <c r="C14" s="28" t="s">
        <v>23</v>
      </c>
      <c r="D14" s="28" t="s">
        <v>29</v>
      </c>
      <c r="E14" s="28" t="s">
        <v>46</v>
      </c>
      <c r="F14" s="31">
        <v>41</v>
      </c>
      <c r="G14" s="31">
        <v>800</v>
      </c>
      <c r="H14" s="31">
        <v>32800</v>
      </c>
      <c r="I14" s="33"/>
    </row>
    <row r="15" spans="1:9">
      <c r="A15" s="30">
        <v>45772</v>
      </c>
      <c r="B15" s="28" t="s">
        <v>48</v>
      </c>
      <c r="C15" s="28" t="s">
        <v>15</v>
      </c>
      <c r="D15" s="28" t="s">
        <v>29</v>
      </c>
      <c r="E15" s="28" t="s">
        <v>46</v>
      </c>
      <c r="F15" s="31">
        <v>27</v>
      </c>
      <c r="G15" s="31">
        <v>50000</v>
      </c>
      <c r="H15" s="31">
        <v>1350000</v>
      </c>
      <c r="I15" s="33"/>
    </row>
    <row r="16" spans="1:9">
      <c r="A16" s="30">
        <v>45742</v>
      </c>
      <c r="B16" s="28" t="s">
        <v>50</v>
      </c>
      <c r="C16" s="28" t="s">
        <v>15</v>
      </c>
      <c r="D16" s="28" t="s">
        <v>51</v>
      </c>
      <c r="E16" s="28" t="s">
        <v>38</v>
      </c>
      <c r="F16" s="31">
        <v>32</v>
      </c>
      <c r="G16" s="31">
        <v>25000</v>
      </c>
      <c r="H16" s="31">
        <v>799549</v>
      </c>
      <c r="I16" s="33"/>
    </row>
    <row r="17" spans="1:9">
      <c r="A17" s="30">
        <v>45706</v>
      </c>
      <c r="B17" s="28" t="s">
        <v>53</v>
      </c>
      <c r="C17" s="28" t="s">
        <v>15</v>
      </c>
      <c r="D17" s="28" t="s">
        <v>24</v>
      </c>
      <c r="E17" s="28" t="s">
        <v>38</v>
      </c>
      <c r="F17" s="31">
        <v>12</v>
      </c>
      <c r="G17" s="31">
        <v>30000</v>
      </c>
      <c r="H17" s="31">
        <v>360000</v>
      </c>
      <c r="I17" s="33"/>
    </row>
    <row r="18" spans="1:9">
      <c r="A18" s="30">
        <v>45808</v>
      </c>
      <c r="B18" s="28" t="s">
        <v>56</v>
      </c>
      <c r="C18" s="28" t="s">
        <v>10</v>
      </c>
      <c r="D18" s="28" t="s">
        <v>51</v>
      </c>
      <c r="E18" s="28" t="s">
        <v>25</v>
      </c>
      <c r="F18" s="31">
        <v>26</v>
      </c>
      <c r="G18" s="31">
        <v>25000</v>
      </c>
      <c r="H18" s="31">
        <v>650000</v>
      </c>
      <c r="I18" s="33"/>
    </row>
    <row r="19" spans="1:9">
      <c r="A19" s="30">
        <v>45771</v>
      </c>
      <c r="B19" s="28" t="s">
        <v>60</v>
      </c>
      <c r="C19" s="28" t="s">
        <v>15</v>
      </c>
      <c r="D19" s="28" t="s">
        <v>29</v>
      </c>
      <c r="E19" s="28" t="s">
        <v>61</v>
      </c>
      <c r="F19" s="31">
        <v>41</v>
      </c>
      <c r="G19" s="31">
        <v>50000</v>
      </c>
      <c r="H19" s="31">
        <v>2050000</v>
      </c>
      <c r="I19" s="33"/>
    </row>
    <row r="20" spans="1:9">
      <c r="A20" s="30">
        <v>45870</v>
      </c>
      <c r="B20" s="28" t="s">
        <v>63</v>
      </c>
      <c r="C20" s="28" t="s">
        <v>15</v>
      </c>
      <c r="D20" s="28" t="s">
        <v>51</v>
      </c>
      <c r="E20" s="28" t="s">
        <v>38</v>
      </c>
      <c r="F20" s="31">
        <v>31</v>
      </c>
      <c r="G20" s="31">
        <v>1200</v>
      </c>
      <c r="H20" s="31">
        <v>37200</v>
      </c>
      <c r="I20" s="33"/>
    </row>
    <row r="21" spans="1:9">
      <c r="A21" s="30">
        <v>45737</v>
      </c>
      <c r="B21" s="28" t="s">
        <v>65</v>
      </c>
      <c r="C21" s="28" t="s">
        <v>23</v>
      </c>
      <c r="D21" s="28" t="s">
        <v>29</v>
      </c>
      <c r="E21" s="28" t="s">
        <v>12</v>
      </c>
      <c r="F21" s="31">
        <v>32</v>
      </c>
      <c r="G21" s="31">
        <v>1200</v>
      </c>
      <c r="H21" s="31">
        <v>38400</v>
      </c>
      <c r="I21" s="33"/>
    </row>
    <row r="22" spans="1:9">
      <c r="A22" s="30">
        <v>45729</v>
      </c>
      <c r="B22" s="28" t="s">
        <v>67</v>
      </c>
      <c r="C22" s="28" t="s">
        <v>15</v>
      </c>
      <c r="D22" s="28" t="s">
        <v>24</v>
      </c>
      <c r="E22" s="28" t="s">
        <v>61</v>
      </c>
      <c r="F22" s="31">
        <v>24</v>
      </c>
      <c r="G22" s="31">
        <v>50000</v>
      </c>
      <c r="H22" s="31">
        <v>1200000</v>
      </c>
      <c r="I22" s="33"/>
    </row>
    <row r="23" spans="1:9">
      <c r="A23" s="30">
        <v>45801</v>
      </c>
      <c r="B23" s="28" t="s">
        <v>69</v>
      </c>
      <c r="C23" s="28" t="s">
        <v>19</v>
      </c>
      <c r="D23" s="28" t="s">
        <v>29</v>
      </c>
      <c r="E23" s="28" t="s">
        <v>25</v>
      </c>
      <c r="F23" s="31">
        <v>31</v>
      </c>
      <c r="G23" s="31">
        <v>50000</v>
      </c>
      <c r="H23" s="31">
        <v>1550000</v>
      </c>
      <c r="I23" s="33"/>
    </row>
    <row r="24" spans="1:9">
      <c r="A24" s="30">
        <v>45817</v>
      </c>
      <c r="B24" s="28" t="s">
        <v>71</v>
      </c>
      <c r="C24" s="28" t="s">
        <v>15</v>
      </c>
      <c r="D24" s="28" t="s">
        <v>11</v>
      </c>
      <c r="E24" s="28" t="s">
        <v>72</v>
      </c>
      <c r="F24" s="31">
        <v>7</v>
      </c>
      <c r="G24" s="31">
        <v>15000</v>
      </c>
      <c r="H24" s="31">
        <v>105000</v>
      </c>
      <c r="I24" s="33"/>
    </row>
    <row r="25" spans="1:9">
      <c r="A25" s="30">
        <v>45824</v>
      </c>
      <c r="B25" s="28" t="s">
        <v>74</v>
      </c>
      <c r="C25" s="28" t="s">
        <v>15</v>
      </c>
      <c r="D25" s="28" t="s">
        <v>29</v>
      </c>
      <c r="E25" s="28" t="s">
        <v>25</v>
      </c>
      <c r="F25" s="31">
        <v>35</v>
      </c>
      <c r="G25" s="31">
        <v>800</v>
      </c>
      <c r="H25" s="31">
        <v>28000</v>
      </c>
      <c r="I25" s="33"/>
    </row>
    <row r="26" spans="1:9">
      <c r="A26" s="30">
        <v>45827</v>
      </c>
      <c r="B26" s="28" t="s">
        <v>76</v>
      </c>
      <c r="C26" s="28" t="s">
        <v>19</v>
      </c>
      <c r="D26" s="28" t="s">
        <v>51</v>
      </c>
      <c r="E26" s="28" t="s">
        <v>38</v>
      </c>
      <c r="F26" s="31">
        <v>18</v>
      </c>
      <c r="G26" s="31">
        <v>1200</v>
      </c>
      <c r="H26" s="31">
        <v>21600</v>
      </c>
      <c r="I26" s="33"/>
    </row>
    <row r="27" spans="1:9">
      <c r="A27" s="30">
        <v>45697</v>
      </c>
      <c r="B27" s="28" t="s">
        <v>78</v>
      </c>
      <c r="C27" s="28" t="s">
        <v>23</v>
      </c>
      <c r="D27" s="28" t="s">
        <v>51</v>
      </c>
      <c r="E27" s="28" t="s">
        <v>38</v>
      </c>
      <c r="F27" s="31">
        <v>45</v>
      </c>
      <c r="G27" s="31">
        <v>25000</v>
      </c>
      <c r="H27" s="31">
        <v>1125000</v>
      </c>
      <c r="I27" s="33"/>
    </row>
    <row r="28" spans="1:9">
      <c r="A28" s="30">
        <v>45676</v>
      </c>
      <c r="B28" s="28" t="s">
        <v>80</v>
      </c>
      <c r="C28" s="28" t="s">
        <v>10</v>
      </c>
      <c r="D28" s="28" t="s">
        <v>11</v>
      </c>
      <c r="E28" s="28" t="s">
        <v>61</v>
      </c>
      <c r="F28" s="31">
        <v>20</v>
      </c>
      <c r="G28" s="31">
        <v>800</v>
      </c>
      <c r="H28" s="31">
        <v>16000</v>
      </c>
      <c r="I28" s="33"/>
    </row>
    <row r="29" spans="1:9">
      <c r="A29" s="30">
        <v>45726</v>
      </c>
      <c r="B29" s="28" t="s">
        <v>82</v>
      </c>
      <c r="C29" s="28" t="s">
        <v>19</v>
      </c>
      <c r="D29" s="28" t="s">
        <v>29</v>
      </c>
      <c r="E29" s="28" t="s">
        <v>16</v>
      </c>
      <c r="F29" s="31">
        <v>30</v>
      </c>
      <c r="G29" s="31">
        <v>25000</v>
      </c>
      <c r="H29" s="31">
        <v>750000</v>
      </c>
      <c r="I29" s="33"/>
    </row>
    <row r="30" spans="1:9">
      <c r="A30" s="30">
        <v>45820</v>
      </c>
      <c r="B30" s="28" t="s">
        <v>84</v>
      </c>
      <c r="C30" s="28" t="s">
        <v>10</v>
      </c>
      <c r="D30" s="28" t="s">
        <v>11</v>
      </c>
      <c r="E30" s="28" t="s">
        <v>72</v>
      </c>
      <c r="F30" s="31">
        <v>4</v>
      </c>
      <c r="G30" s="31">
        <v>25000</v>
      </c>
      <c r="H30" s="31">
        <v>100000</v>
      </c>
      <c r="I30" s="33"/>
    </row>
    <row r="31" spans="1:9">
      <c r="A31" s="30">
        <v>45683</v>
      </c>
      <c r="B31" s="28" t="s">
        <v>87</v>
      </c>
      <c r="C31" s="28" t="s">
        <v>19</v>
      </c>
      <c r="D31" s="28" t="s">
        <v>29</v>
      </c>
      <c r="E31" s="28" t="s">
        <v>38</v>
      </c>
      <c r="F31" s="31">
        <v>37</v>
      </c>
      <c r="G31" s="31">
        <v>50000</v>
      </c>
      <c r="H31" s="31">
        <v>1850000</v>
      </c>
      <c r="I31" s="33"/>
    </row>
    <row r="32" spans="1:9">
      <c r="A32" s="30">
        <v>45837</v>
      </c>
      <c r="B32" s="28" t="s">
        <v>89</v>
      </c>
      <c r="C32" s="28" t="s">
        <v>23</v>
      </c>
      <c r="D32" s="28" t="s">
        <v>24</v>
      </c>
      <c r="E32" s="28" t="s">
        <v>16</v>
      </c>
      <c r="F32" s="31">
        <v>13</v>
      </c>
      <c r="G32" s="31">
        <v>30000</v>
      </c>
      <c r="H32" s="31">
        <v>390000</v>
      </c>
      <c r="I32" s="33"/>
    </row>
    <row r="33" spans="1:9">
      <c r="A33" s="30">
        <v>45834</v>
      </c>
      <c r="B33" s="28" t="s">
        <v>91</v>
      </c>
      <c r="C33" s="28" t="s">
        <v>23</v>
      </c>
      <c r="D33" s="28" t="s">
        <v>24</v>
      </c>
      <c r="E33" s="28" t="s">
        <v>20</v>
      </c>
      <c r="F33" s="31">
        <v>23</v>
      </c>
      <c r="G33" s="31">
        <v>1200</v>
      </c>
      <c r="H33" s="31">
        <v>27600</v>
      </c>
      <c r="I33" s="33"/>
    </row>
    <row r="34" spans="1:9">
      <c r="A34" s="30">
        <v>45803</v>
      </c>
      <c r="B34" s="28" t="s">
        <v>93</v>
      </c>
      <c r="C34" s="28" t="s">
        <v>19</v>
      </c>
      <c r="D34" s="28" t="s">
        <v>24</v>
      </c>
      <c r="E34" s="28" t="s">
        <v>30</v>
      </c>
      <c r="F34" s="31">
        <v>31</v>
      </c>
      <c r="G34" s="31">
        <v>50000</v>
      </c>
      <c r="H34" s="31">
        <v>1550000</v>
      </c>
      <c r="I34" s="33"/>
    </row>
    <row r="35" spans="1:9">
      <c r="A35" s="30">
        <v>45789</v>
      </c>
      <c r="B35" s="28" t="s">
        <v>95</v>
      </c>
      <c r="C35" s="28" t="s">
        <v>10</v>
      </c>
      <c r="D35" s="28" t="s">
        <v>11</v>
      </c>
      <c r="E35" s="28" t="s">
        <v>72</v>
      </c>
      <c r="F35" s="31">
        <v>24</v>
      </c>
      <c r="G35" s="31">
        <v>25000</v>
      </c>
      <c r="H35" s="31">
        <v>600000</v>
      </c>
      <c r="I35" s="33"/>
    </row>
    <row r="36" spans="1:9">
      <c r="A36" s="30">
        <v>45825</v>
      </c>
      <c r="B36" s="28" t="s">
        <v>97</v>
      </c>
      <c r="C36" s="28" t="s">
        <v>15</v>
      </c>
      <c r="D36" s="28" t="s">
        <v>11</v>
      </c>
      <c r="E36" s="28" t="s">
        <v>33</v>
      </c>
      <c r="F36" s="31">
        <v>32</v>
      </c>
      <c r="G36" s="31">
        <v>25000</v>
      </c>
      <c r="H36" s="31">
        <v>800000</v>
      </c>
      <c r="I36" s="33"/>
    </row>
    <row r="37" spans="1:9">
      <c r="A37" s="30">
        <v>45810</v>
      </c>
      <c r="B37" s="28" t="s">
        <v>99</v>
      </c>
      <c r="C37" s="28" t="s">
        <v>19</v>
      </c>
      <c r="D37" s="28" t="s">
        <v>11</v>
      </c>
      <c r="E37" s="28" t="s">
        <v>72</v>
      </c>
      <c r="F37" s="31">
        <v>21</v>
      </c>
      <c r="G37" s="31">
        <v>15000</v>
      </c>
      <c r="H37" s="31">
        <v>315000</v>
      </c>
      <c r="I37" s="33"/>
    </row>
    <row r="38" spans="1:9">
      <c r="A38" s="30">
        <v>45768</v>
      </c>
      <c r="B38" s="28" t="s">
        <v>101</v>
      </c>
      <c r="C38" s="28" t="s">
        <v>15</v>
      </c>
      <c r="D38" s="28" t="s">
        <v>29</v>
      </c>
      <c r="E38" s="28" t="s">
        <v>33</v>
      </c>
      <c r="F38" s="31">
        <v>49</v>
      </c>
      <c r="G38" s="31">
        <v>1200</v>
      </c>
      <c r="H38" s="31">
        <v>58800</v>
      </c>
      <c r="I38" s="33"/>
    </row>
    <row r="39" spans="1:9">
      <c r="A39" s="30">
        <v>45680</v>
      </c>
      <c r="B39" s="28" t="s">
        <v>103</v>
      </c>
      <c r="C39" s="28" t="s">
        <v>10</v>
      </c>
      <c r="D39" s="28" t="s">
        <v>24</v>
      </c>
      <c r="E39" s="28" t="s">
        <v>46</v>
      </c>
      <c r="F39" s="31">
        <v>10</v>
      </c>
      <c r="G39" s="31">
        <v>15000</v>
      </c>
      <c r="H39" s="31">
        <v>150000</v>
      </c>
      <c r="I39" s="33"/>
    </row>
    <row r="40" spans="1:9">
      <c r="A40" s="30">
        <v>45780</v>
      </c>
      <c r="B40" s="28" t="s">
        <v>105</v>
      </c>
      <c r="C40" s="28" t="s">
        <v>15</v>
      </c>
      <c r="D40" s="28" t="s">
        <v>24</v>
      </c>
      <c r="E40" s="28" t="s">
        <v>30</v>
      </c>
      <c r="F40" s="31">
        <v>43</v>
      </c>
      <c r="G40" s="31">
        <v>50000</v>
      </c>
      <c r="H40" s="31">
        <v>2150000</v>
      </c>
      <c r="I40" s="33"/>
    </row>
    <row r="41" spans="1:9">
      <c r="A41" s="30">
        <v>45836</v>
      </c>
      <c r="B41" s="28" t="s">
        <v>107</v>
      </c>
      <c r="C41" s="28" t="s">
        <v>15</v>
      </c>
      <c r="D41" s="28" t="s">
        <v>51</v>
      </c>
      <c r="E41" s="28" t="s">
        <v>38</v>
      </c>
      <c r="F41" s="31">
        <v>36</v>
      </c>
      <c r="G41" s="31">
        <v>1200</v>
      </c>
      <c r="H41" s="31">
        <v>43200</v>
      </c>
      <c r="I41" s="33"/>
    </row>
    <row r="42" spans="1:9">
      <c r="A42" s="30">
        <v>45830</v>
      </c>
      <c r="B42" s="28" t="s">
        <v>109</v>
      </c>
      <c r="C42" s="28" t="s">
        <v>10</v>
      </c>
      <c r="D42" s="28" t="s">
        <v>24</v>
      </c>
      <c r="E42" s="28" t="s">
        <v>30</v>
      </c>
      <c r="F42" s="31">
        <v>17</v>
      </c>
      <c r="G42" s="31">
        <v>25000</v>
      </c>
      <c r="H42" s="31">
        <v>425000</v>
      </c>
      <c r="I42" s="33"/>
    </row>
    <row r="43" spans="1:9">
      <c r="A43" s="30">
        <v>45996</v>
      </c>
      <c r="B43" s="28" t="s">
        <v>111</v>
      </c>
      <c r="C43" s="28" t="s">
        <v>23</v>
      </c>
      <c r="D43" s="28" t="s">
        <v>51</v>
      </c>
      <c r="E43" s="28" t="s">
        <v>25</v>
      </c>
      <c r="F43" s="31">
        <v>16</v>
      </c>
      <c r="G43" s="31">
        <v>50000</v>
      </c>
      <c r="H43" s="31">
        <v>800000</v>
      </c>
      <c r="I43" s="33"/>
    </row>
    <row r="44" spans="1:9">
      <c r="A44" s="30">
        <v>45760</v>
      </c>
      <c r="B44" s="28" t="s">
        <v>113</v>
      </c>
      <c r="C44" s="28" t="s">
        <v>10</v>
      </c>
      <c r="D44" s="28" t="s">
        <v>51</v>
      </c>
      <c r="E44" s="28" t="s">
        <v>20</v>
      </c>
      <c r="F44" s="31">
        <v>30</v>
      </c>
      <c r="G44" s="31">
        <v>800</v>
      </c>
      <c r="H44" s="31">
        <v>24000</v>
      </c>
      <c r="I44" s="33"/>
    </row>
    <row r="45" spans="1:9">
      <c r="A45" s="30">
        <v>45794</v>
      </c>
      <c r="B45" s="28" t="s">
        <v>115</v>
      </c>
      <c r="C45" s="28" t="s">
        <v>23</v>
      </c>
      <c r="D45" s="28" t="s">
        <v>11</v>
      </c>
      <c r="E45" s="28" t="s">
        <v>46</v>
      </c>
      <c r="F45" s="31">
        <v>3</v>
      </c>
      <c r="G45" s="31">
        <v>800</v>
      </c>
      <c r="H45" s="31">
        <v>2400</v>
      </c>
      <c r="I45" s="33"/>
    </row>
    <row r="46" spans="1:9">
      <c r="A46" s="30">
        <v>45712</v>
      </c>
      <c r="B46" s="28" t="s">
        <v>119</v>
      </c>
      <c r="C46" s="28" t="s">
        <v>10</v>
      </c>
      <c r="D46" s="28" t="s">
        <v>24</v>
      </c>
      <c r="E46" s="28" t="s">
        <v>16</v>
      </c>
      <c r="F46" s="31">
        <v>40</v>
      </c>
      <c r="G46" s="31">
        <v>25000</v>
      </c>
      <c r="H46" s="31">
        <v>1000000</v>
      </c>
      <c r="I46" s="33"/>
    </row>
    <row r="47" spans="1:9">
      <c r="A47" s="30">
        <v>45727</v>
      </c>
      <c r="B47" s="28" t="s">
        <v>121</v>
      </c>
      <c r="C47" s="28" t="s">
        <v>23</v>
      </c>
      <c r="D47" s="28" t="s">
        <v>11</v>
      </c>
      <c r="E47" s="28" t="s">
        <v>25</v>
      </c>
      <c r="F47" s="31">
        <v>7</v>
      </c>
      <c r="G47" s="31">
        <v>30000</v>
      </c>
      <c r="H47" s="31">
        <v>210000</v>
      </c>
      <c r="I47" s="33"/>
    </row>
    <row r="48" spans="1:9">
      <c r="A48" s="30">
        <v>45832</v>
      </c>
      <c r="B48" s="28" t="s">
        <v>123</v>
      </c>
      <c r="C48" s="28" t="s">
        <v>23</v>
      </c>
      <c r="D48" s="28" t="s">
        <v>29</v>
      </c>
      <c r="E48" s="28" t="s">
        <v>30</v>
      </c>
      <c r="F48" s="31">
        <v>13</v>
      </c>
      <c r="G48" s="31">
        <v>30000</v>
      </c>
      <c r="H48" s="31">
        <v>390000</v>
      </c>
      <c r="I48" s="33"/>
    </row>
    <row r="49" spans="1:9">
      <c r="A49" s="30">
        <v>45705</v>
      </c>
      <c r="B49" s="28" t="s">
        <v>125</v>
      </c>
      <c r="C49" s="28" t="s">
        <v>23</v>
      </c>
      <c r="D49" s="28" t="s">
        <v>11</v>
      </c>
      <c r="E49" s="28" t="s">
        <v>12</v>
      </c>
      <c r="F49" s="31">
        <v>29</v>
      </c>
      <c r="G49" s="31">
        <v>1200</v>
      </c>
      <c r="H49" s="31">
        <v>34800</v>
      </c>
      <c r="I49" s="33"/>
    </row>
    <row r="50" spans="1:9">
      <c r="A50" s="30">
        <v>45677</v>
      </c>
      <c r="B50" s="28" t="s">
        <v>127</v>
      </c>
      <c r="C50" s="28" t="s">
        <v>10</v>
      </c>
      <c r="D50" s="28" t="s">
        <v>51</v>
      </c>
      <c r="E50" s="28" t="s">
        <v>30</v>
      </c>
      <c r="F50" s="31">
        <v>45</v>
      </c>
      <c r="G50" s="31">
        <v>30000</v>
      </c>
      <c r="H50" s="31">
        <v>1350000</v>
      </c>
      <c r="I50" s="33"/>
    </row>
    <row r="51" spans="1:9">
      <c r="A51" s="30">
        <v>45812</v>
      </c>
      <c r="B51" s="28" t="s">
        <v>129</v>
      </c>
      <c r="C51" s="28" t="s">
        <v>10</v>
      </c>
      <c r="D51" s="28" t="s">
        <v>11</v>
      </c>
      <c r="E51" s="28" t="s">
        <v>72</v>
      </c>
      <c r="F51" s="31">
        <v>45</v>
      </c>
      <c r="G51" s="31">
        <v>15000</v>
      </c>
      <c r="H51" s="31">
        <v>675000</v>
      </c>
      <c r="I51" s="33"/>
    </row>
    <row r="52" spans="1:9">
      <c r="A52" s="30">
        <v>45732</v>
      </c>
      <c r="B52" s="28" t="s">
        <v>131</v>
      </c>
      <c r="C52" s="28" t="s">
        <v>15</v>
      </c>
      <c r="D52" s="28" t="s">
        <v>11</v>
      </c>
      <c r="E52" s="28" t="s">
        <v>20</v>
      </c>
      <c r="F52" s="31">
        <v>19</v>
      </c>
      <c r="G52" s="31">
        <v>800</v>
      </c>
      <c r="H52" s="31">
        <v>15200</v>
      </c>
      <c r="I52" s="33"/>
    </row>
    <row r="53" spans="1:9">
      <c r="A53" s="30">
        <v>45703</v>
      </c>
      <c r="B53" s="28" t="s">
        <v>133</v>
      </c>
      <c r="C53" s="28" t="s">
        <v>19</v>
      </c>
      <c r="D53" s="28" t="s">
        <v>51</v>
      </c>
      <c r="E53" s="28" t="s">
        <v>12</v>
      </c>
      <c r="F53" s="31">
        <v>47</v>
      </c>
      <c r="G53" s="31">
        <v>25000</v>
      </c>
      <c r="H53" s="31">
        <v>1175000</v>
      </c>
      <c r="I53" s="33"/>
    </row>
    <row r="54" spans="1:9">
      <c r="A54" s="30">
        <v>45732</v>
      </c>
      <c r="B54" s="28" t="s">
        <v>135</v>
      </c>
      <c r="C54" s="28" t="s">
        <v>23</v>
      </c>
      <c r="D54" s="28" t="s">
        <v>29</v>
      </c>
      <c r="E54" s="28" t="s">
        <v>33</v>
      </c>
      <c r="F54" s="31">
        <v>10</v>
      </c>
      <c r="G54" s="31">
        <v>800</v>
      </c>
      <c r="H54" s="31">
        <v>7346</v>
      </c>
      <c r="I54" s="33"/>
    </row>
    <row r="55" spans="1:9">
      <c r="A55" s="30">
        <v>45815</v>
      </c>
      <c r="B55" s="28" t="s">
        <v>137</v>
      </c>
      <c r="C55" s="28" t="s">
        <v>10</v>
      </c>
      <c r="D55" s="28" t="s">
        <v>11</v>
      </c>
      <c r="E55" s="28" t="s">
        <v>16</v>
      </c>
      <c r="F55" s="31">
        <v>42</v>
      </c>
      <c r="G55" s="31">
        <v>15000</v>
      </c>
      <c r="H55" s="31">
        <v>630000</v>
      </c>
      <c r="I55" s="33"/>
    </row>
    <row r="56" spans="1:9">
      <c r="A56" s="30">
        <v>45751</v>
      </c>
      <c r="B56" s="28" t="s">
        <v>138</v>
      </c>
      <c r="C56" s="28" t="s">
        <v>23</v>
      </c>
      <c r="D56" s="28" t="s">
        <v>51</v>
      </c>
      <c r="E56" s="28" t="s">
        <v>61</v>
      </c>
      <c r="F56" s="31">
        <v>19</v>
      </c>
      <c r="G56" s="31">
        <v>800</v>
      </c>
      <c r="H56" s="31">
        <v>15200</v>
      </c>
      <c r="I56" s="33"/>
    </row>
    <row r="57" spans="1:9">
      <c r="A57" s="30">
        <v>45686</v>
      </c>
      <c r="B57" s="28" t="s">
        <v>140</v>
      </c>
      <c r="C57" s="28" t="s">
        <v>15</v>
      </c>
      <c r="D57" s="28" t="s">
        <v>11</v>
      </c>
      <c r="E57" s="28" t="s">
        <v>20</v>
      </c>
      <c r="F57" s="31">
        <v>49</v>
      </c>
      <c r="G57" s="31">
        <v>50000</v>
      </c>
      <c r="H57" s="31">
        <v>2450000</v>
      </c>
      <c r="I57" s="33"/>
    </row>
    <row r="58" spans="1:9">
      <c r="A58" s="30">
        <v>45819</v>
      </c>
      <c r="B58" s="28" t="s">
        <v>142</v>
      </c>
      <c r="C58" s="28" t="s">
        <v>10</v>
      </c>
      <c r="D58" s="28" t="s">
        <v>29</v>
      </c>
      <c r="E58" s="28" t="s">
        <v>12</v>
      </c>
      <c r="F58" s="31">
        <v>14</v>
      </c>
      <c r="G58" s="31">
        <v>15000</v>
      </c>
      <c r="H58" s="31">
        <v>210000</v>
      </c>
      <c r="I58" s="33"/>
    </row>
    <row r="59" spans="1:9">
      <c r="A59" s="30">
        <v>45804</v>
      </c>
      <c r="B59" s="28" t="s">
        <v>145</v>
      </c>
      <c r="C59" s="28" t="s">
        <v>23</v>
      </c>
      <c r="D59" s="28" t="s">
        <v>51</v>
      </c>
      <c r="E59" s="28" t="s">
        <v>20</v>
      </c>
      <c r="F59" s="31">
        <v>10</v>
      </c>
      <c r="G59" s="31">
        <v>1200</v>
      </c>
      <c r="H59" s="31">
        <v>12000</v>
      </c>
      <c r="I59" s="33"/>
    </row>
    <row r="60" spans="1:9">
      <c r="A60" s="30">
        <v>45734</v>
      </c>
      <c r="B60" s="28" t="s">
        <v>147</v>
      </c>
      <c r="C60" s="28" t="s">
        <v>19</v>
      </c>
      <c r="D60" s="28" t="s">
        <v>24</v>
      </c>
      <c r="E60" s="28" t="s">
        <v>20</v>
      </c>
      <c r="F60" s="31">
        <v>24</v>
      </c>
      <c r="G60" s="31">
        <v>30000</v>
      </c>
      <c r="H60" s="31">
        <v>720000</v>
      </c>
      <c r="I60" s="33"/>
    </row>
    <row r="61" spans="1:9">
      <c r="A61" s="30">
        <v>45711</v>
      </c>
      <c r="B61" s="28" t="s">
        <v>149</v>
      </c>
      <c r="C61" s="28" t="s">
        <v>10</v>
      </c>
      <c r="D61" s="28" t="s">
        <v>51</v>
      </c>
      <c r="E61" s="28" t="s">
        <v>20</v>
      </c>
      <c r="F61" s="31">
        <v>23</v>
      </c>
      <c r="G61" s="31">
        <v>25000</v>
      </c>
      <c r="H61" s="31">
        <v>575000</v>
      </c>
      <c r="I61" s="33"/>
    </row>
    <row r="62" spans="1:9">
      <c r="A62" s="30">
        <v>45693</v>
      </c>
      <c r="B62" s="28" t="s">
        <v>150</v>
      </c>
      <c r="C62" s="28" t="s">
        <v>10</v>
      </c>
      <c r="D62" s="28" t="s">
        <v>51</v>
      </c>
      <c r="E62" s="28" t="s">
        <v>72</v>
      </c>
      <c r="F62" s="31">
        <v>7</v>
      </c>
      <c r="G62" s="31">
        <v>25000</v>
      </c>
      <c r="H62" s="31">
        <v>175000</v>
      </c>
      <c r="I62" s="33"/>
    </row>
    <row r="63" spans="1:9">
      <c r="A63" s="30">
        <v>45769</v>
      </c>
      <c r="B63" s="28" t="s">
        <v>152</v>
      </c>
      <c r="C63" s="28" t="s">
        <v>19</v>
      </c>
      <c r="D63" s="28" t="s">
        <v>11</v>
      </c>
      <c r="E63" s="28" t="s">
        <v>38</v>
      </c>
      <c r="F63" s="31">
        <v>48</v>
      </c>
      <c r="G63" s="31">
        <v>25000</v>
      </c>
      <c r="H63" s="31">
        <v>1200000</v>
      </c>
      <c r="I63" s="33"/>
    </row>
    <row r="64" spans="1:9">
      <c r="A64" s="30">
        <v>45875</v>
      </c>
      <c r="B64" s="28" t="s">
        <v>154</v>
      </c>
      <c r="C64" s="28" t="s">
        <v>23</v>
      </c>
      <c r="D64" s="28" t="s">
        <v>51</v>
      </c>
      <c r="E64" s="28" t="s">
        <v>20</v>
      </c>
      <c r="F64" s="31">
        <v>14</v>
      </c>
      <c r="G64" s="31">
        <v>1200</v>
      </c>
      <c r="H64" s="31">
        <v>16800</v>
      </c>
      <c r="I64" s="33"/>
    </row>
    <row r="65" spans="1:9">
      <c r="A65" s="30">
        <v>45803</v>
      </c>
      <c r="B65" s="28" t="s">
        <v>156</v>
      </c>
      <c r="C65" s="28" t="s">
        <v>15</v>
      </c>
      <c r="D65" s="28" t="s">
        <v>24</v>
      </c>
      <c r="E65" s="28" t="s">
        <v>30</v>
      </c>
      <c r="F65" s="31">
        <v>21</v>
      </c>
      <c r="G65" s="31">
        <v>30000</v>
      </c>
      <c r="H65" s="31">
        <v>630000</v>
      </c>
      <c r="I65" s="33"/>
    </row>
    <row r="66" spans="1:9">
      <c r="A66" s="30">
        <v>45658</v>
      </c>
      <c r="B66" s="28" t="s">
        <v>158</v>
      </c>
      <c r="C66" s="28" t="s">
        <v>10</v>
      </c>
      <c r="D66" s="28" t="s">
        <v>24</v>
      </c>
      <c r="E66" s="28" t="s">
        <v>33</v>
      </c>
      <c r="F66" s="31">
        <v>31</v>
      </c>
      <c r="G66" s="31">
        <v>1200</v>
      </c>
      <c r="H66" s="31">
        <v>37200</v>
      </c>
      <c r="I66" s="33"/>
    </row>
    <row r="67" spans="1:9">
      <c r="A67" s="30">
        <v>45703</v>
      </c>
      <c r="B67" s="28" t="s">
        <v>159</v>
      </c>
      <c r="C67" s="28" t="s">
        <v>23</v>
      </c>
      <c r="D67" s="28" t="s">
        <v>51</v>
      </c>
      <c r="E67" s="28" t="s">
        <v>20</v>
      </c>
      <c r="F67" s="31">
        <v>44</v>
      </c>
      <c r="G67" s="31">
        <v>30000</v>
      </c>
      <c r="H67" s="31">
        <v>1320000</v>
      </c>
      <c r="I67" s="33"/>
    </row>
    <row r="68" spans="1:9">
      <c r="A68" s="30">
        <v>45781</v>
      </c>
      <c r="B68" s="28" t="s">
        <v>161</v>
      </c>
      <c r="C68" s="28" t="s">
        <v>23</v>
      </c>
      <c r="D68" s="28" t="s">
        <v>11</v>
      </c>
      <c r="E68" s="28" t="s">
        <v>25</v>
      </c>
      <c r="F68" s="31">
        <v>15</v>
      </c>
      <c r="G68" s="31">
        <v>30000</v>
      </c>
      <c r="H68" s="31">
        <v>450000</v>
      </c>
      <c r="I68" s="33"/>
    </row>
    <row r="69" spans="1:9">
      <c r="A69" s="30">
        <v>45786</v>
      </c>
      <c r="B69" s="28" t="s">
        <v>163</v>
      </c>
      <c r="C69" s="28" t="s">
        <v>19</v>
      </c>
      <c r="D69" s="28" t="s">
        <v>11</v>
      </c>
      <c r="E69" s="28" t="s">
        <v>38</v>
      </c>
      <c r="F69" s="31">
        <v>8</v>
      </c>
      <c r="G69" s="31">
        <v>15000</v>
      </c>
      <c r="H69" s="31">
        <v>120000</v>
      </c>
      <c r="I69" s="33"/>
    </row>
    <row r="70" spans="1:9">
      <c r="A70" s="30">
        <v>45664</v>
      </c>
      <c r="B70" s="28" t="s">
        <v>165</v>
      </c>
      <c r="C70" s="28" t="s">
        <v>23</v>
      </c>
      <c r="D70" s="28" t="s">
        <v>11</v>
      </c>
      <c r="E70" s="28" t="s">
        <v>61</v>
      </c>
      <c r="F70" s="31">
        <v>5</v>
      </c>
      <c r="G70" s="31">
        <v>25000</v>
      </c>
      <c r="H70" s="31">
        <v>125000</v>
      </c>
      <c r="I70" s="33"/>
    </row>
    <row r="71" spans="1:9">
      <c r="A71" s="30">
        <v>45826</v>
      </c>
      <c r="B71" s="28" t="s">
        <v>167</v>
      </c>
      <c r="C71" s="28" t="s">
        <v>10</v>
      </c>
      <c r="D71" s="28" t="s">
        <v>11</v>
      </c>
      <c r="E71" s="28" t="s">
        <v>25</v>
      </c>
      <c r="F71" s="31">
        <v>27</v>
      </c>
      <c r="G71" s="31">
        <v>15000</v>
      </c>
      <c r="H71" s="31">
        <v>405000</v>
      </c>
      <c r="I71" s="33"/>
    </row>
    <row r="72" spans="1:9">
      <c r="A72" s="30">
        <v>45672</v>
      </c>
      <c r="B72" s="28" t="s">
        <v>169</v>
      </c>
      <c r="C72" s="28" t="s">
        <v>15</v>
      </c>
      <c r="D72" s="28" t="s">
        <v>11</v>
      </c>
      <c r="E72" s="28" t="s">
        <v>46</v>
      </c>
      <c r="F72" s="31">
        <v>17</v>
      </c>
      <c r="G72" s="31">
        <v>25000</v>
      </c>
      <c r="H72" s="31">
        <v>425000</v>
      </c>
      <c r="I72" s="33"/>
    </row>
    <row r="73" spans="1:9">
      <c r="A73" s="30">
        <v>45692</v>
      </c>
      <c r="B73" s="28" t="s">
        <v>171</v>
      </c>
      <c r="C73" s="28" t="s">
        <v>23</v>
      </c>
      <c r="D73" s="28" t="s">
        <v>11</v>
      </c>
      <c r="E73" s="28" t="s">
        <v>61</v>
      </c>
      <c r="F73" s="31">
        <v>8</v>
      </c>
      <c r="G73" s="31">
        <v>25000</v>
      </c>
      <c r="H73" s="31">
        <v>200000</v>
      </c>
      <c r="I73" s="33"/>
    </row>
    <row r="74" spans="1:9">
      <c r="A74" s="30">
        <v>45765</v>
      </c>
      <c r="B74" s="28" t="s">
        <v>173</v>
      </c>
      <c r="C74" s="28" t="s">
        <v>10</v>
      </c>
      <c r="D74" s="28" t="s">
        <v>11</v>
      </c>
      <c r="E74" s="28" t="s">
        <v>61</v>
      </c>
      <c r="F74" s="31">
        <v>2</v>
      </c>
      <c r="G74" s="31">
        <v>50000</v>
      </c>
      <c r="H74" s="31">
        <v>100000</v>
      </c>
      <c r="I74" s="33"/>
    </row>
    <row r="75" spans="1:9">
      <c r="A75" s="30">
        <v>45684</v>
      </c>
      <c r="B75" s="28" t="s">
        <v>175</v>
      </c>
      <c r="C75" s="28" t="s">
        <v>19</v>
      </c>
      <c r="D75" s="28" t="s">
        <v>11</v>
      </c>
      <c r="E75" s="28" t="s">
        <v>20</v>
      </c>
      <c r="F75" s="31">
        <v>40</v>
      </c>
      <c r="G75" s="31">
        <v>1200</v>
      </c>
      <c r="H75" s="31">
        <v>48000</v>
      </c>
      <c r="I75" s="33"/>
    </row>
    <row r="76" spans="1:9">
      <c r="A76" s="30">
        <v>45783</v>
      </c>
      <c r="B76" s="28" t="s">
        <v>178</v>
      </c>
      <c r="C76" s="28" t="s">
        <v>10</v>
      </c>
      <c r="D76" s="28" t="s">
        <v>51</v>
      </c>
      <c r="E76" s="28" t="s">
        <v>72</v>
      </c>
      <c r="F76" s="31">
        <v>34</v>
      </c>
      <c r="G76" s="31">
        <v>800</v>
      </c>
      <c r="H76" s="31">
        <v>27200</v>
      </c>
      <c r="I76" s="33"/>
    </row>
    <row r="77" spans="1:9">
      <c r="A77" s="30">
        <v>45701</v>
      </c>
      <c r="B77" s="28" t="s">
        <v>180</v>
      </c>
      <c r="C77" s="28" t="s">
        <v>23</v>
      </c>
      <c r="D77" s="28" t="s">
        <v>29</v>
      </c>
      <c r="E77" s="28" t="s">
        <v>38</v>
      </c>
      <c r="F77" s="31">
        <v>33</v>
      </c>
      <c r="G77" s="31">
        <v>25000</v>
      </c>
      <c r="H77" s="31">
        <v>825000</v>
      </c>
      <c r="I77" s="33"/>
    </row>
    <row r="78" spans="1:9">
      <c r="A78" s="30">
        <v>45788</v>
      </c>
      <c r="B78" s="28" t="s">
        <v>182</v>
      </c>
      <c r="C78" s="28" t="s">
        <v>15</v>
      </c>
      <c r="D78" s="28" t="s">
        <v>24</v>
      </c>
      <c r="E78" s="28" t="s">
        <v>12</v>
      </c>
      <c r="F78" s="31">
        <v>34</v>
      </c>
      <c r="G78" s="31">
        <v>1200</v>
      </c>
      <c r="H78" s="31">
        <v>40800</v>
      </c>
      <c r="I78" s="33"/>
    </row>
    <row r="79" spans="1:9">
      <c r="A79" s="30">
        <v>45788</v>
      </c>
      <c r="B79" s="28" t="s">
        <v>184</v>
      </c>
      <c r="C79" s="28" t="s">
        <v>15</v>
      </c>
      <c r="D79" s="28" t="s">
        <v>29</v>
      </c>
      <c r="E79" s="28" t="s">
        <v>38</v>
      </c>
      <c r="F79" s="31">
        <v>6</v>
      </c>
      <c r="G79" s="31">
        <v>25000</v>
      </c>
      <c r="H79" s="31">
        <v>150000</v>
      </c>
      <c r="I79" s="33"/>
    </row>
    <row r="80" spans="1:9">
      <c r="A80" s="30">
        <v>45667</v>
      </c>
      <c r="B80" s="28" t="s">
        <v>186</v>
      </c>
      <c r="C80" s="28" t="s">
        <v>15</v>
      </c>
      <c r="D80" s="28" t="s">
        <v>29</v>
      </c>
      <c r="E80" s="28" t="s">
        <v>33</v>
      </c>
      <c r="F80" s="31">
        <v>5</v>
      </c>
      <c r="G80" s="31">
        <v>15000</v>
      </c>
      <c r="H80" s="31">
        <v>75000</v>
      </c>
      <c r="I80" s="33"/>
    </row>
    <row r="81" spans="1:9">
      <c r="A81" s="30">
        <v>45708</v>
      </c>
      <c r="B81" s="28" t="s">
        <v>188</v>
      </c>
      <c r="C81" s="28" t="s">
        <v>23</v>
      </c>
      <c r="D81" s="28" t="s">
        <v>11</v>
      </c>
      <c r="E81" s="28" t="s">
        <v>61</v>
      </c>
      <c r="F81" s="31">
        <v>23</v>
      </c>
      <c r="G81" s="31">
        <v>800</v>
      </c>
      <c r="H81" s="31">
        <v>18400</v>
      </c>
      <c r="I81" s="33"/>
    </row>
    <row r="82" spans="1:9">
      <c r="A82" s="30">
        <v>45901</v>
      </c>
      <c r="B82" s="28" t="s">
        <v>190</v>
      </c>
      <c r="C82" s="28" t="s">
        <v>15</v>
      </c>
      <c r="D82" s="28" t="s">
        <v>29</v>
      </c>
      <c r="E82" s="28" t="s">
        <v>20</v>
      </c>
      <c r="F82" s="31">
        <v>49</v>
      </c>
      <c r="G82" s="31">
        <v>50000</v>
      </c>
      <c r="H82" s="31">
        <v>2450000</v>
      </c>
      <c r="I82" s="33"/>
    </row>
    <row r="83" spans="1:9">
      <c r="A83" s="30">
        <v>45670</v>
      </c>
      <c r="B83" s="28" t="s">
        <v>192</v>
      </c>
      <c r="C83" s="28" t="s">
        <v>23</v>
      </c>
      <c r="D83" s="28" t="s">
        <v>24</v>
      </c>
      <c r="E83" s="28" t="s">
        <v>38</v>
      </c>
      <c r="F83" s="31">
        <v>47</v>
      </c>
      <c r="G83" s="31">
        <v>1200</v>
      </c>
      <c r="H83" s="31">
        <v>56400</v>
      </c>
      <c r="I83" s="33"/>
    </row>
    <row r="84" spans="1:9">
      <c r="A84" s="30">
        <v>45708</v>
      </c>
      <c r="B84" s="28" t="s">
        <v>193</v>
      </c>
      <c r="C84" s="28" t="s">
        <v>23</v>
      </c>
      <c r="D84" s="28" t="s">
        <v>29</v>
      </c>
      <c r="E84" s="28" t="s">
        <v>16</v>
      </c>
      <c r="F84" s="31">
        <v>25</v>
      </c>
      <c r="G84" s="31">
        <v>15000</v>
      </c>
      <c r="H84" s="31">
        <v>375000</v>
      </c>
      <c r="I84" s="33"/>
    </row>
    <row r="85" spans="1:9">
      <c r="A85" s="30">
        <v>45742</v>
      </c>
      <c r="B85" s="28" t="s">
        <v>195</v>
      </c>
      <c r="C85" s="28" t="s">
        <v>10</v>
      </c>
      <c r="D85" s="28" t="s">
        <v>29</v>
      </c>
      <c r="E85" s="28" t="s">
        <v>20</v>
      </c>
      <c r="F85" s="31">
        <v>41</v>
      </c>
      <c r="G85" s="31">
        <v>50000</v>
      </c>
      <c r="H85" s="31">
        <v>2050000</v>
      </c>
      <c r="I85" s="33"/>
    </row>
    <row r="86" spans="1:9">
      <c r="A86" s="30">
        <v>45659</v>
      </c>
      <c r="B86" s="28" t="s">
        <v>197</v>
      </c>
      <c r="C86" s="28" t="s">
        <v>10</v>
      </c>
      <c r="D86" s="28" t="s">
        <v>11</v>
      </c>
      <c r="E86" s="28" t="s">
        <v>16</v>
      </c>
      <c r="F86" s="31">
        <v>40</v>
      </c>
      <c r="G86" s="31">
        <v>1200</v>
      </c>
      <c r="H86" s="31">
        <v>48000</v>
      </c>
      <c r="I86" s="33"/>
    </row>
    <row r="87" spans="1:9">
      <c r="A87" s="30">
        <v>45936</v>
      </c>
      <c r="B87" s="28" t="s">
        <v>199</v>
      </c>
      <c r="C87" s="28" t="s">
        <v>10</v>
      </c>
      <c r="D87" s="28" t="s">
        <v>24</v>
      </c>
      <c r="E87" s="28" t="s">
        <v>33</v>
      </c>
      <c r="F87" s="31">
        <v>19</v>
      </c>
      <c r="G87" s="31">
        <v>1200</v>
      </c>
      <c r="H87" s="31">
        <v>22800</v>
      </c>
      <c r="I87" s="33"/>
    </row>
    <row r="88" spans="1:9">
      <c r="A88" s="30">
        <v>45667</v>
      </c>
      <c r="B88" s="28" t="s">
        <v>200</v>
      </c>
      <c r="C88" s="28" t="s">
        <v>15</v>
      </c>
      <c r="D88" s="28" t="s">
        <v>51</v>
      </c>
      <c r="E88" s="28" t="s">
        <v>72</v>
      </c>
      <c r="F88" s="31">
        <v>26</v>
      </c>
      <c r="G88" s="31">
        <v>50000</v>
      </c>
      <c r="H88" s="31">
        <v>1300000</v>
      </c>
      <c r="I88" s="33"/>
    </row>
    <row r="89" spans="1:9">
      <c r="A89" s="30">
        <v>45662</v>
      </c>
      <c r="B89" s="28" t="s">
        <v>202</v>
      </c>
      <c r="C89" s="28" t="s">
        <v>10</v>
      </c>
      <c r="D89" s="28" t="s">
        <v>11</v>
      </c>
      <c r="E89" s="28" t="s">
        <v>30</v>
      </c>
      <c r="F89" s="31">
        <v>1</v>
      </c>
      <c r="G89" s="31">
        <v>50000</v>
      </c>
      <c r="H89" s="31">
        <v>50000</v>
      </c>
      <c r="I89" s="33"/>
    </row>
    <row r="90" spans="1:9">
      <c r="A90" s="30">
        <v>45827</v>
      </c>
      <c r="B90" s="28" t="s">
        <v>204</v>
      </c>
      <c r="C90" s="28" t="s">
        <v>10</v>
      </c>
      <c r="D90" s="28" t="s">
        <v>11</v>
      </c>
      <c r="E90" s="28" t="s">
        <v>25</v>
      </c>
      <c r="F90" s="31">
        <v>43</v>
      </c>
      <c r="G90" s="31">
        <v>800</v>
      </c>
      <c r="H90" s="31">
        <v>34400</v>
      </c>
      <c r="I90" s="33"/>
    </row>
    <row r="91" spans="1:9">
      <c r="A91" s="30">
        <v>45835</v>
      </c>
      <c r="B91" s="28" t="s">
        <v>206</v>
      </c>
      <c r="C91" s="28" t="s">
        <v>10</v>
      </c>
      <c r="D91" s="28" t="s">
        <v>11</v>
      </c>
      <c r="E91" s="28" t="s">
        <v>72</v>
      </c>
      <c r="F91" s="31">
        <v>6</v>
      </c>
      <c r="G91" s="31">
        <v>800</v>
      </c>
      <c r="H91" s="31">
        <v>4800</v>
      </c>
      <c r="I91" s="33"/>
    </row>
    <row r="92" spans="1:9">
      <c r="A92" s="30">
        <v>45723</v>
      </c>
      <c r="B92" s="28" t="s">
        <v>208</v>
      </c>
      <c r="C92" s="28" t="s">
        <v>15</v>
      </c>
      <c r="D92" s="28" t="s">
        <v>29</v>
      </c>
      <c r="E92" s="28" t="s">
        <v>61</v>
      </c>
      <c r="F92" s="31">
        <v>9</v>
      </c>
      <c r="G92" s="31">
        <v>50000</v>
      </c>
      <c r="H92" s="31">
        <v>450000</v>
      </c>
      <c r="I92" s="33"/>
    </row>
    <row r="93" spans="1:9">
      <c r="A93" s="30">
        <v>45760</v>
      </c>
      <c r="B93" s="28" t="s">
        <v>211</v>
      </c>
      <c r="C93" s="28" t="s">
        <v>19</v>
      </c>
      <c r="D93" s="28" t="s">
        <v>11</v>
      </c>
      <c r="E93" s="28" t="s">
        <v>46</v>
      </c>
      <c r="F93" s="31">
        <v>11</v>
      </c>
      <c r="G93" s="31">
        <v>800</v>
      </c>
      <c r="H93" s="31">
        <v>8800</v>
      </c>
      <c r="I93" s="33"/>
    </row>
    <row r="94" spans="1:9">
      <c r="A94" s="30">
        <v>45768</v>
      </c>
      <c r="B94" s="28" t="s">
        <v>212</v>
      </c>
      <c r="C94" s="28" t="s">
        <v>19</v>
      </c>
      <c r="D94" s="28" t="s">
        <v>24</v>
      </c>
      <c r="E94" s="28" t="s">
        <v>20</v>
      </c>
      <c r="F94" s="31">
        <v>46</v>
      </c>
      <c r="G94" s="31">
        <v>15000</v>
      </c>
      <c r="H94" s="31">
        <v>689245</v>
      </c>
      <c r="I94" s="33"/>
    </row>
    <row r="95" spans="1:9">
      <c r="A95" s="30">
        <v>45872</v>
      </c>
      <c r="B95" s="28" t="s">
        <v>214</v>
      </c>
      <c r="C95" s="28" t="s">
        <v>10</v>
      </c>
      <c r="D95" s="28" t="s">
        <v>51</v>
      </c>
      <c r="E95" s="28" t="s">
        <v>33</v>
      </c>
      <c r="F95" s="31">
        <v>12</v>
      </c>
      <c r="G95" s="31">
        <v>30000</v>
      </c>
      <c r="H95" s="31">
        <v>360000</v>
      </c>
      <c r="I95" s="33"/>
    </row>
    <row r="96" spans="1:9">
      <c r="A96" s="30">
        <v>45723</v>
      </c>
      <c r="B96" s="28" t="s">
        <v>215</v>
      </c>
      <c r="C96" s="28" t="s">
        <v>19</v>
      </c>
      <c r="D96" s="28" t="s">
        <v>51</v>
      </c>
      <c r="E96" s="28" t="s">
        <v>61</v>
      </c>
      <c r="F96" s="31">
        <v>10</v>
      </c>
      <c r="G96" s="31">
        <v>50000</v>
      </c>
      <c r="H96" s="31">
        <v>500000</v>
      </c>
      <c r="I96" s="33"/>
    </row>
    <row r="97" spans="1:9">
      <c r="A97" s="30">
        <v>45833</v>
      </c>
      <c r="B97" s="28" t="s">
        <v>217</v>
      </c>
      <c r="C97" s="28" t="s">
        <v>15</v>
      </c>
      <c r="D97" s="28" t="s">
        <v>24</v>
      </c>
      <c r="E97" s="28" t="s">
        <v>38</v>
      </c>
      <c r="F97" s="31">
        <v>42</v>
      </c>
      <c r="G97" s="31">
        <v>30000</v>
      </c>
      <c r="H97" s="31">
        <v>1260000</v>
      </c>
      <c r="I97" s="33"/>
    </row>
    <row r="98" spans="1:9">
      <c r="A98" s="30">
        <v>45816</v>
      </c>
      <c r="B98" s="28" t="s">
        <v>219</v>
      </c>
      <c r="C98" s="28" t="s">
        <v>15</v>
      </c>
      <c r="D98" s="28" t="s">
        <v>29</v>
      </c>
      <c r="E98" s="28" t="s">
        <v>33</v>
      </c>
      <c r="F98" s="31">
        <v>26</v>
      </c>
      <c r="G98" s="31">
        <v>50000</v>
      </c>
      <c r="H98" s="31">
        <v>1300000</v>
      </c>
      <c r="I98" s="33"/>
    </row>
    <row r="99" spans="1:9">
      <c r="A99" s="30">
        <v>45733</v>
      </c>
      <c r="B99" s="28" t="s">
        <v>221</v>
      </c>
      <c r="C99" s="28" t="s">
        <v>23</v>
      </c>
      <c r="D99" s="28" t="s">
        <v>24</v>
      </c>
      <c r="E99" s="28" t="s">
        <v>33</v>
      </c>
      <c r="F99" s="31">
        <v>38</v>
      </c>
      <c r="G99" s="31">
        <v>30000</v>
      </c>
      <c r="H99" s="31">
        <v>1140000</v>
      </c>
      <c r="I99" s="33"/>
    </row>
    <row r="100" spans="1:9">
      <c r="A100" s="30">
        <v>45994</v>
      </c>
      <c r="B100" s="28" t="s">
        <v>223</v>
      </c>
      <c r="C100" s="28" t="s">
        <v>19</v>
      </c>
      <c r="D100" s="28" t="s">
        <v>11</v>
      </c>
      <c r="E100" s="28" t="s">
        <v>20</v>
      </c>
      <c r="F100" s="31">
        <v>5</v>
      </c>
      <c r="G100" s="31">
        <v>1200</v>
      </c>
      <c r="H100" s="31">
        <v>6000</v>
      </c>
      <c r="I100" s="33"/>
    </row>
    <row r="101" spans="1:9">
      <c r="A101" s="30">
        <v>45759</v>
      </c>
      <c r="B101" s="28" t="s">
        <v>225</v>
      </c>
      <c r="C101" s="28" t="s">
        <v>15</v>
      </c>
      <c r="D101" s="28" t="s">
        <v>11</v>
      </c>
      <c r="E101" s="28" t="s">
        <v>20</v>
      </c>
      <c r="F101" s="31">
        <v>23</v>
      </c>
      <c r="G101" s="31">
        <v>50000</v>
      </c>
      <c r="H101" s="31">
        <v>1150000</v>
      </c>
      <c r="I101" s="33"/>
    </row>
    <row r="102" spans="1:9">
      <c r="A102" s="30">
        <v>45737</v>
      </c>
      <c r="B102" s="28" t="s">
        <v>227</v>
      </c>
      <c r="C102" s="28" t="s">
        <v>15</v>
      </c>
      <c r="D102" s="28" t="s">
        <v>11</v>
      </c>
      <c r="E102" s="28" t="s">
        <v>25</v>
      </c>
      <c r="F102" s="31">
        <v>21</v>
      </c>
      <c r="G102" s="31">
        <v>50000</v>
      </c>
      <c r="H102" s="31">
        <v>1050000</v>
      </c>
      <c r="I102" s="33"/>
    </row>
    <row r="103" spans="1:9">
      <c r="A103" s="30">
        <v>45901</v>
      </c>
      <c r="B103" s="28" t="s">
        <v>228</v>
      </c>
      <c r="C103" s="28" t="s">
        <v>23</v>
      </c>
      <c r="D103" s="28" t="s">
        <v>29</v>
      </c>
      <c r="E103" s="28" t="s">
        <v>30</v>
      </c>
      <c r="F103" s="31">
        <v>43</v>
      </c>
      <c r="G103" s="31">
        <v>15000</v>
      </c>
      <c r="H103" s="31">
        <v>644958</v>
      </c>
      <c r="I103" s="33"/>
    </row>
    <row r="104" spans="1:9">
      <c r="A104" s="30">
        <v>45744</v>
      </c>
      <c r="B104" s="28" t="s">
        <v>230</v>
      </c>
      <c r="C104" s="28" t="s">
        <v>19</v>
      </c>
      <c r="D104" s="28" t="s">
        <v>11</v>
      </c>
      <c r="E104" s="28" t="s">
        <v>38</v>
      </c>
      <c r="F104" s="31">
        <v>28</v>
      </c>
      <c r="G104" s="31">
        <v>800</v>
      </c>
      <c r="H104" s="31">
        <v>22400</v>
      </c>
      <c r="I104" s="33"/>
    </row>
    <row r="105" spans="1:9">
      <c r="A105" s="30">
        <v>45710</v>
      </c>
      <c r="B105" s="28" t="s">
        <v>232</v>
      </c>
      <c r="C105" s="28" t="s">
        <v>15</v>
      </c>
      <c r="D105" s="28" t="s">
        <v>51</v>
      </c>
      <c r="E105" s="28" t="s">
        <v>33</v>
      </c>
      <c r="F105" s="31">
        <v>50</v>
      </c>
      <c r="G105" s="31">
        <v>1200</v>
      </c>
      <c r="H105" s="31">
        <v>60000</v>
      </c>
      <c r="I105" s="33"/>
    </row>
    <row r="106" spans="1:9">
      <c r="A106" s="30">
        <v>45756</v>
      </c>
      <c r="B106" s="28" t="s">
        <v>234</v>
      </c>
      <c r="C106" s="28" t="s">
        <v>10</v>
      </c>
      <c r="D106" s="28" t="s">
        <v>51</v>
      </c>
      <c r="E106" s="28" t="s">
        <v>33</v>
      </c>
      <c r="F106" s="31">
        <v>27</v>
      </c>
      <c r="G106" s="31">
        <v>30000</v>
      </c>
      <c r="H106" s="31">
        <v>810000</v>
      </c>
      <c r="I106" s="33"/>
    </row>
    <row r="107" spans="1:9">
      <c r="A107" s="30">
        <v>45829</v>
      </c>
      <c r="B107" s="28" t="s">
        <v>236</v>
      </c>
      <c r="C107" s="28" t="s">
        <v>10</v>
      </c>
      <c r="D107" s="28" t="s">
        <v>51</v>
      </c>
      <c r="E107" s="28" t="s">
        <v>25</v>
      </c>
      <c r="F107" s="31">
        <v>29</v>
      </c>
      <c r="G107" s="31">
        <v>1200</v>
      </c>
      <c r="H107" s="31">
        <v>34800</v>
      </c>
      <c r="I107" s="33"/>
    </row>
    <row r="108" spans="1:9">
      <c r="A108" s="30">
        <v>45743</v>
      </c>
      <c r="B108" s="28" t="s">
        <v>238</v>
      </c>
      <c r="C108" s="28" t="s">
        <v>23</v>
      </c>
      <c r="D108" s="28" t="s">
        <v>24</v>
      </c>
      <c r="E108" s="28" t="s">
        <v>38</v>
      </c>
      <c r="F108" s="31">
        <v>38</v>
      </c>
      <c r="G108" s="31">
        <v>30000</v>
      </c>
      <c r="H108" s="31">
        <v>1140000</v>
      </c>
      <c r="I108" s="33"/>
    </row>
    <row r="109" spans="1:9">
      <c r="A109" s="30">
        <v>45670</v>
      </c>
      <c r="B109" s="28" t="s">
        <v>240</v>
      </c>
      <c r="C109" s="28" t="s">
        <v>10</v>
      </c>
      <c r="D109" s="28" t="s">
        <v>29</v>
      </c>
      <c r="E109" s="28" t="s">
        <v>61</v>
      </c>
      <c r="F109" s="31">
        <v>23</v>
      </c>
      <c r="G109" s="31">
        <v>50000</v>
      </c>
      <c r="H109" s="31">
        <v>1150000</v>
      </c>
      <c r="I109" s="33"/>
    </row>
    <row r="110" spans="1:9">
      <c r="A110" s="30">
        <v>45963</v>
      </c>
      <c r="B110" s="28" t="s">
        <v>242</v>
      </c>
      <c r="C110" s="28" t="s">
        <v>19</v>
      </c>
      <c r="D110" s="28" t="s">
        <v>11</v>
      </c>
      <c r="E110" s="28" t="s">
        <v>38</v>
      </c>
      <c r="F110" s="31">
        <v>13</v>
      </c>
      <c r="G110" s="31">
        <v>50000</v>
      </c>
      <c r="H110" s="31">
        <v>650000</v>
      </c>
      <c r="I110" s="33"/>
    </row>
    <row r="111" spans="1:9">
      <c r="A111" s="30">
        <v>45674</v>
      </c>
      <c r="B111" s="28" t="s">
        <v>244</v>
      </c>
      <c r="C111" s="28" t="s">
        <v>15</v>
      </c>
      <c r="D111" s="28" t="s">
        <v>11</v>
      </c>
      <c r="E111" s="28" t="s">
        <v>12</v>
      </c>
      <c r="F111" s="31">
        <v>26</v>
      </c>
      <c r="G111" s="31">
        <v>50000</v>
      </c>
      <c r="H111" s="31">
        <v>1300000</v>
      </c>
      <c r="I111" s="33"/>
    </row>
    <row r="112" spans="1:9">
      <c r="A112" s="30">
        <v>45761</v>
      </c>
      <c r="B112" s="28" t="s">
        <v>246</v>
      </c>
      <c r="C112" s="28" t="s">
        <v>15</v>
      </c>
      <c r="D112" s="28" t="s">
        <v>24</v>
      </c>
      <c r="E112" s="28" t="s">
        <v>30</v>
      </c>
      <c r="F112" s="31">
        <v>11</v>
      </c>
      <c r="G112" s="31">
        <v>50000</v>
      </c>
      <c r="H112" s="31">
        <v>550000</v>
      </c>
      <c r="I112" s="33"/>
    </row>
    <row r="113" spans="1:9">
      <c r="A113" s="30">
        <v>45691</v>
      </c>
      <c r="B113" s="28" t="s">
        <v>248</v>
      </c>
      <c r="C113" s="28" t="s">
        <v>19</v>
      </c>
      <c r="D113" s="28" t="s">
        <v>11</v>
      </c>
      <c r="E113" s="28" t="s">
        <v>72</v>
      </c>
      <c r="F113" s="31">
        <v>21</v>
      </c>
      <c r="G113" s="31">
        <v>800</v>
      </c>
      <c r="H113" s="31">
        <v>16800</v>
      </c>
      <c r="I113" s="33"/>
    </row>
    <row r="114" spans="1:9">
      <c r="A114" s="30">
        <v>45773</v>
      </c>
      <c r="B114" s="28" t="s">
        <v>250</v>
      </c>
      <c r="C114" s="28" t="s">
        <v>10</v>
      </c>
      <c r="D114" s="28" t="s">
        <v>51</v>
      </c>
      <c r="E114" s="28" t="s">
        <v>25</v>
      </c>
      <c r="F114" s="31">
        <v>27</v>
      </c>
      <c r="G114" s="31">
        <v>15000</v>
      </c>
      <c r="H114" s="31">
        <v>404238</v>
      </c>
      <c r="I114" s="33"/>
    </row>
    <row r="115" spans="1:9">
      <c r="A115" s="30">
        <v>45668</v>
      </c>
      <c r="B115" s="28" t="s">
        <v>252</v>
      </c>
      <c r="C115" s="28" t="s">
        <v>10</v>
      </c>
      <c r="D115" s="28" t="s">
        <v>29</v>
      </c>
      <c r="E115" s="28" t="s">
        <v>38</v>
      </c>
      <c r="F115" s="31">
        <v>14</v>
      </c>
      <c r="G115" s="31">
        <v>25000</v>
      </c>
      <c r="H115" s="31">
        <v>350000</v>
      </c>
      <c r="I115" s="33"/>
    </row>
    <row r="116" spans="1:9">
      <c r="A116" s="30">
        <v>45701</v>
      </c>
      <c r="B116" s="28" t="s">
        <v>254</v>
      </c>
      <c r="C116" s="28" t="s">
        <v>15</v>
      </c>
      <c r="D116" s="28" t="s">
        <v>11</v>
      </c>
      <c r="E116" s="28" t="s">
        <v>30</v>
      </c>
      <c r="F116" s="31">
        <v>40</v>
      </c>
      <c r="G116" s="31">
        <v>50000</v>
      </c>
      <c r="H116" s="31">
        <v>2000000</v>
      </c>
      <c r="I116" s="33"/>
    </row>
    <row r="117" spans="1:9">
      <c r="A117" s="30">
        <v>45740</v>
      </c>
      <c r="B117" s="28" t="s">
        <v>256</v>
      </c>
      <c r="C117" s="28" t="s">
        <v>19</v>
      </c>
      <c r="D117" s="28" t="s">
        <v>24</v>
      </c>
      <c r="E117" s="28" t="s">
        <v>30</v>
      </c>
      <c r="F117" s="31">
        <v>13</v>
      </c>
      <c r="G117" s="31">
        <v>25000</v>
      </c>
      <c r="H117" s="31">
        <v>325000</v>
      </c>
      <c r="I117" s="33"/>
    </row>
    <row r="118" spans="1:9">
      <c r="A118" s="30">
        <v>45658</v>
      </c>
      <c r="B118" s="28" t="s">
        <v>258</v>
      </c>
      <c r="C118" s="28" t="s">
        <v>23</v>
      </c>
      <c r="D118" s="28" t="s">
        <v>11</v>
      </c>
      <c r="E118" s="28" t="s">
        <v>46</v>
      </c>
      <c r="F118" s="31">
        <v>1</v>
      </c>
      <c r="G118" s="31">
        <v>800</v>
      </c>
      <c r="H118" s="31">
        <v>800</v>
      </c>
      <c r="I118" s="33"/>
    </row>
    <row r="119" spans="1:9">
      <c r="A119" s="30">
        <v>45756</v>
      </c>
      <c r="B119" s="28" t="s">
        <v>259</v>
      </c>
      <c r="C119" s="28" t="s">
        <v>15</v>
      </c>
      <c r="D119" s="28" t="s">
        <v>24</v>
      </c>
      <c r="E119" s="28" t="s">
        <v>12</v>
      </c>
      <c r="F119" s="31">
        <v>14</v>
      </c>
      <c r="G119" s="31">
        <v>15000</v>
      </c>
      <c r="H119" s="31">
        <v>209202</v>
      </c>
      <c r="I119" s="33"/>
    </row>
    <row r="120" spans="1:9">
      <c r="A120" s="30">
        <v>45761</v>
      </c>
      <c r="B120" s="28" t="s">
        <v>261</v>
      </c>
      <c r="C120" s="28" t="s">
        <v>15</v>
      </c>
      <c r="D120" s="28" t="s">
        <v>51</v>
      </c>
      <c r="E120" s="28" t="s">
        <v>20</v>
      </c>
      <c r="F120" s="31">
        <v>24</v>
      </c>
      <c r="G120" s="31">
        <v>30000</v>
      </c>
      <c r="H120" s="31">
        <v>720000</v>
      </c>
      <c r="I120" s="33"/>
    </row>
    <row r="121" spans="1:9">
      <c r="A121" s="30">
        <v>45875</v>
      </c>
      <c r="B121" s="28" t="s">
        <v>262</v>
      </c>
      <c r="C121" s="28" t="s">
        <v>19</v>
      </c>
      <c r="D121" s="28" t="s">
        <v>29</v>
      </c>
      <c r="E121" s="28" t="s">
        <v>46</v>
      </c>
      <c r="F121" s="31">
        <v>42</v>
      </c>
      <c r="G121" s="31">
        <v>800</v>
      </c>
      <c r="H121" s="31">
        <v>33600</v>
      </c>
      <c r="I121" s="33"/>
    </row>
    <row r="122" spans="1:9">
      <c r="A122" s="30">
        <v>45832</v>
      </c>
      <c r="B122" s="28" t="s">
        <v>264</v>
      </c>
      <c r="C122" s="28" t="s">
        <v>23</v>
      </c>
      <c r="D122" s="28" t="s">
        <v>29</v>
      </c>
      <c r="E122" s="28" t="s">
        <v>38</v>
      </c>
      <c r="F122" s="31">
        <v>31</v>
      </c>
      <c r="G122" s="31">
        <v>30000</v>
      </c>
      <c r="H122" s="31">
        <v>930307</v>
      </c>
      <c r="I122" s="33"/>
    </row>
    <row r="123" spans="1:9">
      <c r="A123" s="30">
        <v>45687</v>
      </c>
      <c r="B123" s="28" t="s">
        <v>266</v>
      </c>
      <c r="C123" s="28" t="s">
        <v>15</v>
      </c>
      <c r="D123" s="28" t="s">
        <v>51</v>
      </c>
      <c r="E123" s="28" t="s">
        <v>16</v>
      </c>
      <c r="F123" s="31">
        <v>21</v>
      </c>
      <c r="G123" s="31">
        <v>15000</v>
      </c>
      <c r="H123" s="31">
        <v>315000</v>
      </c>
      <c r="I123" s="33"/>
    </row>
    <row r="124" spans="1:9">
      <c r="A124" s="30">
        <v>45705</v>
      </c>
      <c r="B124" s="28" t="s">
        <v>268</v>
      </c>
      <c r="C124" s="28" t="s">
        <v>23</v>
      </c>
      <c r="D124" s="28" t="s">
        <v>11</v>
      </c>
      <c r="E124" s="28" t="s">
        <v>30</v>
      </c>
      <c r="F124" s="31">
        <v>25</v>
      </c>
      <c r="G124" s="31">
        <v>30000</v>
      </c>
      <c r="H124" s="31">
        <v>750000</v>
      </c>
      <c r="I124" s="33"/>
    </row>
    <row r="125" spans="1:9">
      <c r="A125" s="30">
        <v>45660</v>
      </c>
      <c r="B125" s="28" t="s">
        <v>270</v>
      </c>
      <c r="C125" s="28" t="s">
        <v>23</v>
      </c>
      <c r="D125" s="28" t="s">
        <v>24</v>
      </c>
      <c r="E125" s="28" t="s">
        <v>61</v>
      </c>
      <c r="F125" s="31">
        <v>5</v>
      </c>
      <c r="G125" s="31">
        <v>15000</v>
      </c>
      <c r="H125" s="31">
        <v>75000</v>
      </c>
      <c r="I125" s="33"/>
    </row>
    <row r="126" spans="1:9">
      <c r="A126" s="30">
        <v>45725</v>
      </c>
      <c r="B126" s="28" t="s">
        <v>272</v>
      </c>
      <c r="C126" s="28" t="s">
        <v>19</v>
      </c>
      <c r="D126" s="28" t="s">
        <v>29</v>
      </c>
      <c r="E126" s="28" t="s">
        <v>61</v>
      </c>
      <c r="F126" s="31">
        <v>23</v>
      </c>
      <c r="G126" s="31">
        <v>25000</v>
      </c>
      <c r="H126" s="31">
        <v>575000</v>
      </c>
      <c r="I126" s="33"/>
    </row>
    <row r="127" spans="1:9">
      <c r="A127" s="30">
        <v>45781</v>
      </c>
      <c r="B127" s="28" t="s">
        <v>274</v>
      </c>
      <c r="C127" s="28" t="s">
        <v>15</v>
      </c>
      <c r="D127" s="28" t="s">
        <v>11</v>
      </c>
      <c r="E127" s="28" t="s">
        <v>20</v>
      </c>
      <c r="F127" s="31">
        <v>16</v>
      </c>
      <c r="G127" s="31">
        <v>50000</v>
      </c>
      <c r="H127" s="31">
        <v>800000</v>
      </c>
      <c r="I127" s="33"/>
    </row>
    <row r="128" spans="1:9">
      <c r="A128" s="30">
        <v>45786</v>
      </c>
      <c r="B128" s="28" t="s">
        <v>276</v>
      </c>
      <c r="C128" s="28" t="s">
        <v>15</v>
      </c>
      <c r="D128" s="28" t="s">
        <v>51</v>
      </c>
      <c r="E128" s="28" t="s">
        <v>33</v>
      </c>
      <c r="F128" s="31">
        <v>26</v>
      </c>
      <c r="G128" s="31">
        <v>50000</v>
      </c>
      <c r="H128" s="31">
        <v>1300000</v>
      </c>
      <c r="I128" s="33"/>
    </row>
    <row r="129" spans="1:9">
      <c r="A129" s="30">
        <v>45780</v>
      </c>
      <c r="B129" s="28" t="s">
        <v>278</v>
      </c>
      <c r="C129" s="28" t="s">
        <v>10</v>
      </c>
      <c r="D129" s="28" t="s">
        <v>11</v>
      </c>
      <c r="E129" s="28" t="s">
        <v>30</v>
      </c>
      <c r="F129" s="31">
        <v>38</v>
      </c>
      <c r="G129" s="31">
        <v>800</v>
      </c>
      <c r="H129" s="31">
        <v>30400</v>
      </c>
      <c r="I129" s="33"/>
    </row>
    <row r="130" spans="1:9">
      <c r="A130" s="30">
        <v>45796</v>
      </c>
      <c r="B130" s="28" t="s">
        <v>280</v>
      </c>
      <c r="C130" s="28" t="s">
        <v>19</v>
      </c>
      <c r="D130" s="28" t="s">
        <v>29</v>
      </c>
      <c r="E130" s="28" t="s">
        <v>12</v>
      </c>
      <c r="F130" s="31">
        <v>31</v>
      </c>
      <c r="G130" s="31">
        <v>800</v>
      </c>
      <c r="H130" s="31">
        <v>24800</v>
      </c>
      <c r="I130" s="33"/>
    </row>
    <row r="131" spans="1:9">
      <c r="A131" s="30">
        <v>45711</v>
      </c>
      <c r="B131" s="28" t="s">
        <v>281</v>
      </c>
      <c r="C131" s="28" t="s">
        <v>23</v>
      </c>
      <c r="D131" s="28" t="s">
        <v>29</v>
      </c>
      <c r="E131" s="28" t="s">
        <v>38</v>
      </c>
      <c r="F131" s="31">
        <v>14</v>
      </c>
      <c r="G131" s="31">
        <v>1200</v>
      </c>
      <c r="H131" s="31">
        <v>16800</v>
      </c>
      <c r="I131" s="33"/>
    </row>
    <row r="132" spans="1:9">
      <c r="A132" s="30">
        <v>45761</v>
      </c>
      <c r="B132" s="28" t="s">
        <v>283</v>
      </c>
      <c r="C132" s="28" t="s">
        <v>15</v>
      </c>
      <c r="D132" s="28" t="s">
        <v>24</v>
      </c>
      <c r="E132" s="28" t="s">
        <v>12</v>
      </c>
      <c r="F132" s="31">
        <v>26</v>
      </c>
      <c r="G132" s="31">
        <v>800</v>
      </c>
      <c r="H132" s="31">
        <v>20800</v>
      </c>
      <c r="I132" s="33"/>
    </row>
    <row r="133" spans="1:9">
      <c r="A133" s="30">
        <v>45704</v>
      </c>
      <c r="B133" s="28" t="s">
        <v>285</v>
      </c>
      <c r="C133" s="28" t="s">
        <v>15</v>
      </c>
      <c r="D133" s="28" t="s">
        <v>24</v>
      </c>
      <c r="E133" s="28" t="s">
        <v>16</v>
      </c>
      <c r="F133" s="31">
        <v>28</v>
      </c>
      <c r="G133" s="31">
        <v>800</v>
      </c>
      <c r="H133" s="31">
        <v>22400</v>
      </c>
      <c r="I133" s="33"/>
    </row>
    <row r="134" spans="1:9">
      <c r="A134" s="30">
        <v>45743</v>
      </c>
      <c r="B134" s="28" t="s">
        <v>287</v>
      </c>
      <c r="C134" s="28" t="s">
        <v>19</v>
      </c>
      <c r="D134" s="28" t="s">
        <v>11</v>
      </c>
      <c r="E134" s="28" t="s">
        <v>46</v>
      </c>
      <c r="F134" s="31">
        <v>41</v>
      </c>
      <c r="G134" s="31">
        <v>1200</v>
      </c>
      <c r="H134" s="31">
        <v>49200</v>
      </c>
      <c r="I134" s="33"/>
    </row>
    <row r="135" spans="1:9">
      <c r="A135" s="30">
        <v>45837</v>
      </c>
      <c r="B135" s="28" t="s">
        <v>289</v>
      </c>
      <c r="C135" s="28" t="s">
        <v>23</v>
      </c>
      <c r="D135" s="28" t="s">
        <v>11</v>
      </c>
      <c r="E135" s="28" t="s">
        <v>33</v>
      </c>
      <c r="F135" s="31">
        <v>25</v>
      </c>
      <c r="G135" s="31">
        <v>30000</v>
      </c>
      <c r="H135" s="31">
        <v>750000</v>
      </c>
      <c r="I135" s="33"/>
    </row>
    <row r="136" spans="1:9">
      <c r="A136" s="30">
        <v>45672</v>
      </c>
      <c r="B136" s="28" t="s">
        <v>290</v>
      </c>
      <c r="C136" s="28" t="s">
        <v>15</v>
      </c>
      <c r="D136" s="28" t="s">
        <v>11</v>
      </c>
      <c r="E136" s="28" t="s">
        <v>25</v>
      </c>
      <c r="F136" s="31">
        <v>12</v>
      </c>
      <c r="G136" s="31">
        <v>1200</v>
      </c>
      <c r="H136" s="31">
        <v>14400</v>
      </c>
      <c r="I136" s="33"/>
    </row>
    <row r="137" spans="1:9">
      <c r="A137" s="30">
        <v>45760</v>
      </c>
      <c r="B137" s="28" t="s">
        <v>291</v>
      </c>
      <c r="C137" s="28" t="s">
        <v>23</v>
      </c>
      <c r="D137" s="28" t="s">
        <v>29</v>
      </c>
      <c r="E137" s="28" t="s">
        <v>46</v>
      </c>
      <c r="F137" s="31">
        <v>46</v>
      </c>
      <c r="G137" s="31">
        <v>15000</v>
      </c>
      <c r="H137" s="31">
        <v>690000</v>
      </c>
      <c r="I137" s="33"/>
    </row>
    <row r="138" spans="1:9">
      <c r="A138" s="30">
        <v>45705</v>
      </c>
      <c r="B138" s="28" t="s">
        <v>292</v>
      </c>
      <c r="C138" s="28" t="s">
        <v>19</v>
      </c>
      <c r="D138" s="28" t="s">
        <v>29</v>
      </c>
      <c r="E138" s="28" t="s">
        <v>20</v>
      </c>
      <c r="F138" s="31">
        <v>41</v>
      </c>
      <c r="G138" s="31">
        <v>800</v>
      </c>
      <c r="H138" s="31">
        <v>32800</v>
      </c>
      <c r="I138" s="33"/>
    </row>
    <row r="139" spans="1:9">
      <c r="A139" s="30">
        <v>45676</v>
      </c>
      <c r="B139" s="28" t="s">
        <v>294</v>
      </c>
      <c r="C139" s="28" t="s">
        <v>23</v>
      </c>
      <c r="D139" s="28" t="s">
        <v>51</v>
      </c>
      <c r="E139" s="28" t="s">
        <v>20</v>
      </c>
      <c r="F139" s="31">
        <v>31</v>
      </c>
      <c r="G139" s="31">
        <v>50000</v>
      </c>
      <c r="H139" s="31">
        <v>1550000</v>
      </c>
      <c r="I139" s="33"/>
    </row>
    <row r="140" spans="1:9">
      <c r="A140" s="30">
        <v>45704</v>
      </c>
      <c r="B140" s="28" t="s">
        <v>295</v>
      </c>
      <c r="C140" s="28" t="s">
        <v>10</v>
      </c>
      <c r="D140" s="28" t="s">
        <v>11</v>
      </c>
      <c r="E140" s="28" t="s">
        <v>20</v>
      </c>
      <c r="F140" s="31">
        <v>35</v>
      </c>
      <c r="G140" s="31">
        <v>25000</v>
      </c>
      <c r="H140" s="31">
        <v>875000</v>
      </c>
      <c r="I140" s="33"/>
    </row>
    <row r="141" spans="1:9">
      <c r="A141" s="30">
        <v>45764</v>
      </c>
      <c r="B141" s="28" t="s">
        <v>297</v>
      </c>
      <c r="C141" s="28" t="s">
        <v>19</v>
      </c>
      <c r="D141" s="28" t="s">
        <v>29</v>
      </c>
      <c r="E141" s="28" t="s">
        <v>38</v>
      </c>
      <c r="F141" s="31">
        <v>35</v>
      </c>
      <c r="G141" s="31">
        <v>50000</v>
      </c>
      <c r="H141" s="31">
        <v>1750000</v>
      </c>
      <c r="I141" s="33"/>
    </row>
    <row r="142" spans="1:9">
      <c r="A142" s="30">
        <v>45815</v>
      </c>
      <c r="B142" s="28" t="s">
        <v>298</v>
      </c>
      <c r="C142" s="28" t="s">
        <v>10</v>
      </c>
      <c r="D142" s="28" t="s">
        <v>51</v>
      </c>
      <c r="E142" s="28" t="s">
        <v>12</v>
      </c>
      <c r="F142" s="31">
        <v>2</v>
      </c>
      <c r="G142" s="31">
        <v>1200</v>
      </c>
      <c r="H142" s="31">
        <v>2400</v>
      </c>
      <c r="I142" s="33"/>
    </row>
    <row r="143" spans="1:9">
      <c r="A143" s="30">
        <v>45676</v>
      </c>
      <c r="B143" s="28" t="s">
        <v>300</v>
      </c>
      <c r="C143" s="28" t="s">
        <v>10</v>
      </c>
      <c r="D143" s="28" t="s">
        <v>51</v>
      </c>
      <c r="E143" s="28" t="s">
        <v>33</v>
      </c>
      <c r="F143" s="31">
        <v>32</v>
      </c>
      <c r="G143" s="31">
        <v>1200</v>
      </c>
      <c r="H143" s="31">
        <v>38400</v>
      </c>
      <c r="I143" s="33"/>
    </row>
    <row r="144" spans="1:9">
      <c r="A144" s="30">
        <v>45807</v>
      </c>
      <c r="B144" s="28" t="s">
        <v>302</v>
      </c>
      <c r="C144" s="28" t="s">
        <v>19</v>
      </c>
      <c r="D144" s="28" t="s">
        <v>24</v>
      </c>
      <c r="E144" s="28" t="s">
        <v>72</v>
      </c>
      <c r="F144" s="31">
        <v>50</v>
      </c>
      <c r="G144" s="31">
        <v>30000</v>
      </c>
      <c r="H144" s="31">
        <v>1500000</v>
      </c>
      <c r="I144" s="33"/>
    </row>
    <row r="145" spans="1:9">
      <c r="A145" s="30">
        <v>45769</v>
      </c>
      <c r="B145" s="28" t="s">
        <v>304</v>
      </c>
      <c r="C145" s="28" t="s">
        <v>15</v>
      </c>
      <c r="D145" s="28" t="s">
        <v>51</v>
      </c>
      <c r="E145" s="28" t="s">
        <v>20</v>
      </c>
      <c r="F145" s="31">
        <v>10</v>
      </c>
      <c r="G145" s="31">
        <v>15000</v>
      </c>
      <c r="H145" s="31">
        <v>149305</v>
      </c>
      <c r="I145" s="33"/>
    </row>
    <row r="146" spans="1:9">
      <c r="A146" s="30">
        <v>45737</v>
      </c>
      <c r="B146" s="28" t="s">
        <v>305</v>
      </c>
      <c r="C146" s="28" t="s">
        <v>19</v>
      </c>
      <c r="D146" s="28" t="s">
        <v>24</v>
      </c>
      <c r="E146" s="28" t="s">
        <v>30</v>
      </c>
      <c r="F146" s="31">
        <v>22</v>
      </c>
      <c r="G146" s="31">
        <v>50000</v>
      </c>
      <c r="H146" s="31">
        <v>1100000</v>
      </c>
      <c r="I146" s="33"/>
    </row>
    <row r="147" spans="1:9">
      <c r="A147" s="30">
        <v>45837</v>
      </c>
      <c r="B147" s="28" t="s">
        <v>307</v>
      </c>
      <c r="C147" s="28" t="s">
        <v>10</v>
      </c>
      <c r="D147" s="28" t="s">
        <v>24</v>
      </c>
      <c r="E147" s="28" t="s">
        <v>61</v>
      </c>
      <c r="F147" s="31">
        <v>12</v>
      </c>
      <c r="G147" s="31">
        <v>15000</v>
      </c>
      <c r="H147" s="31">
        <v>180000</v>
      </c>
      <c r="I147" s="33"/>
    </row>
    <row r="148" spans="1:9">
      <c r="A148" s="30">
        <v>45694</v>
      </c>
      <c r="B148" s="28" t="s">
        <v>309</v>
      </c>
      <c r="C148" s="28" t="s">
        <v>19</v>
      </c>
      <c r="D148" s="28" t="s">
        <v>24</v>
      </c>
      <c r="E148" s="28" t="s">
        <v>38</v>
      </c>
      <c r="F148" s="31">
        <v>11</v>
      </c>
      <c r="G148" s="31">
        <v>25000</v>
      </c>
      <c r="H148" s="31">
        <v>275159</v>
      </c>
      <c r="I148" s="33"/>
    </row>
    <row r="149" spans="1:9">
      <c r="A149" s="30">
        <v>45766</v>
      </c>
      <c r="B149" s="28" t="s">
        <v>311</v>
      </c>
      <c r="C149" s="28" t="s">
        <v>19</v>
      </c>
      <c r="D149" s="28" t="s">
        <v>24</v>
      </c>
      <c r="E149" s="28" t="s">
        <v>33</v>
      </c>
      <c r="F149" s="31">
        <v>45</v>
      </c>
      <c r="G149" s="31">
        <v>50000</v>
      </c>
      <c r="H149" s="31">
        <v>2250000</v>
      </c>
      <c r="I149" s="33"/>
    </row>
    <row r="150" spans="1:9">
      <c r="A150" s="30">
        <v>45746</v>
      </c>
      <c r="B150" s="28" t="s">
        <v>313</v>
      </c>
      <c r="C150" s="28" t="s">
        <v>19</v>
      </c>
      <c r="D150" s="28" t="s">
        <v>29</v>
      </c>
      <c r="E150" s="28" t="s">
        <v>16</v>
      </c>
      <c r="F150" s="31">
        <v>35</v>
      </c>
      <c r="G150" s="31">
        <v>25000</v>
      </c>
      <c r="H150" s="31">
        <v>875000</v>
      </c>
      <c r="I150" s="33"/>
    </row>
    <row r="151" spans="1:9">
      <c r="A151" s="30">
        <v>45731</v>
      </c>
      <c r="B151" s="28" t="s">
        <v>315</v>
      </c>
      <c r="C151" s="28" t="s">
        <v>19</v>
      </c>
      <c r="D151" s="28" t="s">
        <v>11</v>
      </c>
      <c r="E151" s="28" t="s">
        <v>20</v>
      </c>
      <c r="F151" s="31">
        <v>35</v>
      </c>
      <c r="G151" s="31">
        <v>25000</v>
      </c>
      <c r="H151" s="31">
        <v>875000</v>
      </c>
      <c r="I151" s="33"/>
    </row>
    <row r="152" spans="1:9">
      <c r="A152" s="30">
        <v>45680</v>
      </c>
      <c r="B152" s="28" t="s">
        <v>317</v>
      </c>
      <c r="C152" s="28" t="s">
        <v>19</v>
      </c>
      <c r="D152" s="28" t="s">
        <v>24</v>
      </c>
      <c r="E152" s="28" t="s">
        <v>12</v>
      </c>
      <c r="F152" s="31">
        <v>27</v>
      </c>
      <c r="G152" s="31">
        <v>15000</v>
      </c>
      <c r="H152" s="31">
        <v>405000</v>
      </c>
      <c r="I152" s="33"/>
    </row>
    <row r="153" spans="1:9">
      <c r="A153" s="30">
        <v>45783</v>
      </c>
      <c r="B153" s="28" t="s">
        <v>318</v>
      </c>
      <c r="C153" s="28" t="s">
        <v>15</v>
      </c>
      <c r="D153" s="28" t="s">
        <v>11</v>
      </c>
      <c r="E153" s="28" t="s">
        <v>46</v>
      </c>
      <c r="F153" s="31">
        <v>18</v>
      </c>
      <c r="G153" s="31">
        <v>15000</v>
      </c>
      <c r="H153" s="31">
        <v>270000</v>
      </c>
      <c r="I153" s="33"/>
    </row>
    <row r="154" spans="1:9">
      <c r="A154" s="30">
        <v>45749</v>
      </c>
      <c r="B154" s="28" t="s">
        <v>320</v>
      </c>
      <c r="C154" s="28" t="s">
        <v>10</v>
      </c>
      <c r="D154" s="28" t="s">
        <v>24</v>
      </c>
      <c r="E154" s="28" t="s">
        <v>16</v>
      </c>
      <c r="F154" s="31">
        <v>34</v>
      </c>
      <c r="G154" s="31">
        <v>50000</v>
      </c>
      <c r="H154" s="31">
        <v>1700000</v>
      </c>
      <c r="I154" s="33"/>
    </row>
    <row r="155" spans="1:9">
      <c r="A155" s="30">
        <v>45789</v>
      </c>
      <c r="B155" s="28" t="s">
        <v>321</v>
      </c>
      <c r="C155" s="28" t="s">
        <v>15</v>
      </c>
      <c r="D155" s="28" t="s">
        <v>29</v>
      </c>
      <c r="E155" s="28" t="s">
        <v>25</v>
      </c>
      <c r="F155" s="31">
        <v>7</v>
      </c>
      <c r="G155" s="31">
        <v>50000</v>
      </c>
      <c r="H155" s="31">
        <v>350000</v>
      </c>
      <c r="I155" s="33"/>
    </row>
    <row r="156" spans="1:9">
      <c r="A156" s="30">
        <v>45761</v>
      </c>
      <c r="B156" s="28" t="s">
        <v>322</v>
      </c>
      <c r="C156" s="28" t="s">
        <v>19</v>
      </c>
      <c r="D156" s="28" t="s">
        <v>29</v>
      </c>
      <c r="E156" s="28" t="s">
        <v>61</v>
      </c>
      <c r="F156" s="31">
        <v>26</v>
      </c>
      <c r="G156" s="31">
        <v>15000</v>
      </c>
      <c r="H156" s="31">
        <v>390000</v>
      </c>
      <c r="I156" s="33"/>
    </row>
    <row r="157" spans="1:9">
      <c r="A157" s="30">
        <v>45700</v>
      </c>
      <c r="B157" s="28" t="s">
        <v>325</v>
      </c>
      <c r="C157" s="28" t="s">
        <v>15</v>
      </c>
      <c r="D157" s="28" t="s">
        <v>51</v>
      </c>
      <c r="E157" s="28" t="s">
        <v>46</v>
      </c>
      <c r="F157" s="31">
        <v>8</v>
      </c>
      <c r="G157" s="31">
        <v>15000</v>
      </c>
      <c r="H157" s="31">
        <v>120000</v>
      </c>
      <c r="I157" s="33"/>
    </row>
    <row r="158" spans="1:9">
      <c r="A158" s="30">
        <v>45662</v>
      </c>
      <c r="B158" s="28" t="s">
        <v>327</v>
      </c>
      <c r="C158" s="28" t="s">
        <v>23</v>
      </c>
      <c r="D158" s="28" t="s">
        <v>29</v>
      </c>
      <c r="E158" s="28" t="s">
        <v>12</v>
      </c>
      <c r="F158" s="31">
        <v>3</v>
      </c>
      <c r="G158" s="31">
        <v>25000</v>
      </c>
      <c r="H158" s="31">
        <v>75000</v>
      </c>
      <c r="I158" s="33"/>
    </row>
    <row r="159" spans="1:9">
      <c r="A159" s="30">
        <v>45803</v>
      </c>
      <c r="B159" s="28" t="s">
        <v>329</v>
      </c>
      <c r="C159" s="28" t="s">
        <v>23</v>
      </c>
      <c r="D159" s="28" t="s">
        <v>51</v>
      </c>
      <c r="E159" s="28" t="s">
        <v>20</v>
      </c>
      <c r="F159" s="31">
        <v>25</v>
      </c>
      <c r="G159" s="31">
        <v>15000</v>
      </c>
      <c r="H159" s="31">
        <v>375000</v>
      </c>
      <c r="I159" s="33"/>
    </row>
    <row r="160" spans="1:9">
      <c r="A160" s="30">
        <v>45829</v>
      </c>
      <c r="B160" s="28" t="s">
        <v>330</v>
      </c>
      <c r="C160" s="28" t="s">
        <v>15</v>
      </c>
      <c r="D160" s="28" t="s">
        <v>29</v>
      </c>
      <c r="E160" s="28" t="s">
        <v>46</v>
      </c>
      <c r="F160" s="31">
        <v>6</v>
      </c>
      <c r="G160" s="31">
        <v>50000</v>
      </c>
      <c r="H160" s="31">
        <v>300000</v>
      </c>
      <c r="I160" s="33"/>
    </row>
    <row r="161" spans="1:9">
      <c r="A161" s="30">
        <v>45810</v>
      </c>
      <c r="B161" s="28" t="s">
        <v>332</v>
      </c>
      <c r="C161" s="28" t="s">
        <v>23</v>
      </c>
      <c r="D161" s="28" t="s">
        <v>11</v>
      </c>
      <c r="E161" s="28" t="s">
        <v>16</v>
      </c>
      <c r="F161" s="31">
        <v>32</v>
      </c>
      <c r="G161" s="31">
        <v>30000</v>
      </c>
      <c r="H161" s="31">
        <v>960000</v>
      </c>
      <c r="I161" s="33"/>
    </row>
    <row r="162" spans="1:9">
      <c r="A162" s="30">
        <v>45682</v>
      </c>
      <c r="B162" s="28" t="s">
        <v>334</v>
      </c>
      <c r="C162" s="28" t="s">
        <v>15</v>
      </c>
      <c r="D162" s="28" t="s">
        <v>24</v>
      </c>
      <c r="E162" s="28" t="s">
        <v>38</v>
      </c>
      <c r="F162" s="31">
        <v>31</v>
      </c>
      <c r="G162" s="31">
        <v>800</v>
      </c>
      <c r="H162" s="31">
        <v>24800</v>
      </c>
      <c r="I162" s="33"/>
    </row>
    <row r="163" spans="1:9">
      <c r="A163" s="30">
        <v>45717</v>
      </c>
      <c r="B163" s="28" t="s">
        <v>336</v>
      </c>
      <c r="C163" s="28" t="s">
        <v>15</v>
      </c>
      <c r="D163" s="28" t="s">
        <v>11</v>
      </c>
      <c r="E163" s="28" t="s">
        <v>30</v>
      </c>
      <c r="F163" s="31">
        <v>48</v>
      </c>
      <c r="G163" s="31">
        <v>1200</v>
      </c>
      <c r="H163" s="31">
        <v>57600</v>
      </c>
      <c r="I163" s="33"/>
    </row>
    <row r="164" spans="1:9">
      <c r="A164" s="30">
        <v>45714</v>
      </c>
      <c r="B164" s="28" t="s">
        <v>338</v>
      </c>
      <c r="C164" s="28" t="s">
        <v>15</v>
      </c>
      <c r="D164" s="28" t="s">
        <v>29</v>
      </c>
      <c r="E164" s="28" t="s">
        <v>61</v>
      </c>
      <c r="F164" s="31">
        <v>44</v>
      </c>
      <c r="G164" s="31">
        <v>50000</v>
      </c>
      <c r="H164" s="31">
        <v>2200000</v>
      </c>
      <c r="I164" s="33"/>
    </row>
    <row r="165" spans="1:9">
      <c r="A165" s="30">
        <v>45780</v>
      </c>
      <c r="B165" s="28" t="s">
        <v>340</v>
      </c>
      <c r="C165" s="28" t="s">
        <v>15</v>
      </c>
      <c r="D165" s="28" t="s">
        <v>51</v>
      </c>
      <c r="E165" s="28" t="s">
        <v>46</v>
      </c>
      <c r="F165" s="31">
        <v>19</v>
      </c>
      <c r="G165" s="31">
        <v>25000</v>
      </c>
      <c r="H165" s="31">
        <v>475000</v>
      </c>
      <c r="I165" s="33"/>
    </row>
    <row r="166" spans="1:9">
      <c r="A166" s="30">
        <v>45821</v>
      </c>
      <c r="B166" s="28" t="s">
        <v>342</v>
      </c>
      <c r="C166" s="28" t="s">
        <v>10</v>
      </c>
      <c r="D166" s="28" t="s">
        <v>11</v>
      </c>
      <c r="E166" s="28" t="s">
        <v>61</v>
      </c>
      <c r="F166" s="31">
        <v>32</v>
      </c>
      <c r="G166" s="31">
        <v>25000</v>
      </c>
      <c r="H166" s="31">
        <v>800000</v>
      </c>
      <c r="I166" s="33"/>
    </row>
    <row r="167" spans="1:9">
      <c r="A167" s="30">
        <v>45773</v>
      </c>
      <c r="B167" s="28" t="s">
        <v>343</v>
      </c>
      <c r="C167" s="28" t="s">
        <v>23</v>
      </c>
      <c r="D167" s="28" t="s">
        <v>51</v>
      </c>
      <c r="E167" s="28" t="s">
        <v>30</v>
      </c>
      <c r="F167" s="31">
        <v>20</v>
      </c>
      <c r="G167" s="31">
        <v>25000</v>
      </c>
      <c r="H167" s="31">
        <v>500000</v>
      </c>
      <c r="I167" s="33"/>
    </row>
    <row r="168" spans="1:9">
      <c r="A168" s="30">
        <v>45691</v>
      </c>
      <c r="B168" s="28" t="s">
        <v>344</v>
      </c>
      <c r="C168" s="28" t="s">
        <v>19</v>
      </c>
      <c r="D168" s="28" t="s">
        <v>51</v>
      </c>
      <c r="E168" s="28" t="s">
        <v>12</v>
      </c>
      <c r="F168" s="31">
        <v>4</v>
      </c>
      <c r="G168" s="31">
        <v>15000</v>
      </c>
      <c r="H168" s="31">
        <v>60000</v>
      </c>
      <c r="I168" s="33"/>
    </row>
    <row r="169" spans="1:9">
      <c r="A169" s="30">
        <v>45935</v>
      </c>
      <c r="B169" s="28" t="s">
        <v>346</v>
      </c>
      <c r="C169" s="28" t="s">
        <v>15</v>
      </c>
      <c r="D169" s="28" t="s">
        <v>11</v>
      </c>
      <c r="E169" s="28" t="s">
        <v>20</v>
      </c>
      <c r="F169" s="31">
        <v>20</v>
      </c>
      <c r="G169" s="31">
        <v>30000</v>
      </c>
      <c r="H169" s="31">
        <v>600000</v>
      </c>
      <c r="I169" s="33"/>
    </row>
    <row r="170" spans="1:9">
      <c r="A170" s="30">
        <v>45747</v>
      </c>
      <c r="B170" s="28" t="s">
        <v>348</v>
      </c>
      <c r="C170" s="28" t="s">
        <v>10</v>
      </c>
      <c r="D170" s="28" t="s">
        <v>51</v>
      </c>
      <c r="E170" s="28" t="s">
        <v>72</v>
      </c>
      <c r="F170" s="31">
        <v>20</v>
      </c>
      <c r="G170" s="31">
        <v>1200</v>
      </c>
      <c r="H170" s="31">
        <v>24000</v>
      </c>
      <c r="I170" s="33"/>
    </row>
    <row r="171" spans="1:9">
      <c r="A171" s="30">
        <v>45678</v>
      </c>
      <c r="B171" s="28" t="s">
        <v>350</v>
      </c>
      <c r="C171" s="28" t="s">
        <v>10</v>
      </c>
      <c r="D171" s="28" t="s">
        <v>29</v>
      </c>
      <c r="E171" s="28" t="s">
        <v>30</v>
      </c>
      <c r="F171" s="31">
        <v>12</v>
      </c>
      <c r="G171" s="31">
        <v>15000</v>
      </c>
      <c r="H171" s="31">
        <v>180000</v>
      </c>
      <c r="I171" s="33"/>
    </row>
    <row r="172" spans="1:9">
      <c r="A172" s="30">
        <v>45715</v>
      </c>
      <c r="B172" s="28" t="s">
        <v>352</v>
      </c>
      <c r="C172" s="28" t="s">
        <v>10</v>
      </c>
      <c r="D172" s="28" t="s">
        <v>29</v>
      </c>
      <c r="E172" s="28" t="s">
        <v>20</v>
      </c>
      <c r="F172" s="31">
        <v>27</v>
      </c>
      <c r="G172" s="31">
        <v>30000</v>
      </c>
      <c r="H172" s="31">
        <v>810000</v>
      </c>
      <c r="I172" s="33"/>
    </row>
    <row r="173" spans="1:9">
      <c r="A173" s="30">
        <v>45693</v>
      </c>
      <c r="B173" s="28" t="s">
        <v>354</v>
      </c>
      <c r="C173" s="28" t="s">
        <v>23</v>
      </c>
      <c r="D173" s="28" t="s">
        <v>51</v>
      </c>
      <c r="E173" s="28" t="s">
        <v>20</v>
      </c>
      <c r="F173" s="31">
        <v>43</v>
      </c>
      <c r="G173" s="31">
        <v>50000</v>
      </c>
      <c r="H173" s="31">
        <v>2150000</v>
      </c>
      <c r="I173" s="33"/>
    </row>
    <row r="174" spans="1:9">
      <c r="A174" s="30">
        <v>45835</v>
      </c>
      <c r="B174" s="28" t="s">
        <v>355</v>
      </c>
      <c r="C174" s="28" t="s">
        <v>19</v>
      </c>
      <c r="D174" s="28" t="s">
        <v>11</v>
      </c>
      <c r="E174" s="28" t="s">
        <v>72</v>
      </c>
      <c r="F174" s="31">
        <v>5</v>
      </c>
      <c r="G174" s="31">
        <v>30000</v>
      </c>
      <c r="H174" s="31">
        <v>150000</v>
      </c>
      <c r="I174" s="33"/>
    </row>
    <row r="175" spans="1:9">
      <c r="A175" s="30">
        <v>45838</v>
      </c>
      <c r="B175" s="28" t="s">
        <v>357</v>
      </c>
      <c r="C175" s="28" t="s">
        <v>10</v>
      </c>
      <c r="D175" s="28" t="s">
        <v>51</v>
      </c>
      <c r="E175" s="28" t="s">
        <v>33</v>
      </c>
      <c r="F175" s="31">
        <v>18</v>
      </c>
      <c r="G175" s="31">
        <v>50000</v>
      </c>
      <c r="H175" s="31">
        <v>900000</v>
      </c>
      <c r="I175" s="33"/>
    </row>
    <row r="176" spans="1:9">
      <c r="A176" s="30">
        <v>45780</v>
      </c>
      <c r="B176" s="28" t="s">
        <v>358</v>
      </c>
      <c r="C176" s="28" t="s">
        <v>15</v>
      </c>
      <c r="D176" s="28" t="s">
        <v>29</v>
      </c>
      <c r="E176" s="28" t="s">
        <v>38</v>
      </c>
      <c r="F176" s="31">
        <v>13</v>
      </c>
      <c r="G176" s="31">
        <v>30000</v>
      </c>
      <c r="H176" s="31">
        <v>390000</v>
      </c>
      <c r="I176" s="33"/>
    </row>
    <row r="177" spans="1:9">
      <c r="A177" s="30">
        <v>45825</v>
      </c>
      <c r="B177" s="28" t="s">
        <v>360</v>
      </c>
      <c r="C177" s="28" t="s">
        <v>10</v>
      </c>
      <c r="D177" s="28" t="s">
        <v>24</v>
      </c>
      <c r="E177" s="28" t="s">
        <v>72</v>
      </c>
      <c r="F177" s="31">
        <v>14</v>
      </c>
      <c r="G177" s="31">
        <v>30000</v>
      </c>
      <c r="H177" s="31">
        <v>420000</v>
      </c>
      <c r="I177" s="33"/>
    </row>
    <row r="178" spans="1:9">
      <c r="A178" s="30">
        <v>45767</v>
      </c>
      <c r="B178" s="28" t="s">
        <v>362</v>
      </c>
      <c r="C178" s="28" t="s">
        <v>19</v>
      </c>
      <c r="D178" s="28" t="s">
        <v>24</v>
      </c>
      <c r="E178" s="28" t="s">
        <v>61</v>
      </c>
      <c r="F178" s="31">
        <v>50</v>
      </c>
      <c r="G178" s="31">
        <v>30000</v>
      </c>
      <c r="H178" s="31">
        <v>1500000</v>
      </c>
      <c r="I178" s="33"/>
    </row>
    <row r="179" spans="1:9">
      <c r="A179" s="30">
        <v>45724</v>
      </c>
      <c r="B179" s="28" t="s">
        <v>364</v>
      </c>
      <c r="C179" s="28" t="s">
        <v>23</v>
      </c>
      <c r="D179" s="28" t="s">
        <v>29</v>
      </c>
      <c r="E179" s="28" t="s">
        <v>16</v>
      </c>
      <c r="F179" s="31">
        <v>6</v>
      </c>
      <c r="G179" s="31">
        <v>800</v>
      </c>
      <c r="H179" s="31">
        <v>4800</v>
      </c>
      <c r="I179" s="33"/>
    </row>
    <row r="180" spans="1:9">
      <c r="A180" s="30">
        <v>45827</v>
      </c>
      <c r="B180" s="28" t="s">
        <v>365</v>
      </c>
      <c r="C180" s="28" t="s">
        <v>23</v>
      </c>
      <c r="D180" s="28" t="s">
        <v>11</v>
      </c>
      <c r="E180" s="28" t="s">
        <v>16</v>
      </c>
      <c r="F180" s="31">
        <v>29</v>
      </c>
      <c r="G180" s="31">
        <v>800</v>
      </c>
      <c r="H180" s="31">
        <v>23200</v>
      </c>
      <c r="I180" s="33"/>
    </row>
    <row r="181" spans="1:9">
      <c r="A181" s="30">
        <v>45748</v>
      </c>
      <c r="B181" s="28" t="s">
        <v>367</v>
      </c>
      <c r="C181" s="28" t="s">
        <v>15</v>
      </c>
      <c r="D181" s="28" t="s">
        <v>29</v>
      </c>
      <c r="E181" s="28" t="s">
        <v>38</v>
      </c>
      <c r="F181" s="31">
        <v>12</v>
      </c>
      <c r="G181" s="31">
        <v>25000</v>
      </c>
      <c r="H181" s="31">
        <v>300434</v>
      </c>
      <c r="I181" s="33"/>
    </row>
    <row r="182" spans="1:9">
      <c r="A182" s="30">
        <v>45741</v>
      </c>
      <c r="B182" s="28" t="s">
        <v>369</v>
      </c>
      <c r="C182" s="28" t="s">
        <v>19</v>
      </c>
      <c r="D182" s="28" t="s">
        <v>11</v>
      </c>
      <c r="E182" s="28" t="s">
        <v>30</v>
      </c>
      <c r="F182" s="31">
        <v>28</v>
      </c>
      <c r="G182" s="31">
        <v>25000</v>
      </c>
      <c r="H182" s="31">
        <v>700343</v>
      </c>
      <c r="I182" s="33"/>
    </row>
    <row r="183" spans="1:9">
      <c r="A183" s="30">
        <v>45783</v>
      </c>
      <c r="B183" s="28" t="s">
        <v>372</v>
      </c>
      <c r="C183" s="28" t="s">
        <v>10</v>
      </c>
      <c r="D183" s="28" t="s">
        <v>51</v>
      </c>
      <c r="E183" s="28" t="s">
        <v>16</v>
      </c>
      <c r="F183" s="31">
        <v>28</v>
      </c>
      <c r="G183" s="31">
        <v>30000</v>
      </c>
      <c r="H183" s="31">
        <v>840000</v>
      </c>
      <c r="I183" s="33"/>
    </row>
    <row r="184" spans="1:9">
      <c r="A184" s="30">
        <v>45789</v>
      </c>
      <c r="B184" s="28" t="s">
        <v>373</v>
      </c>
      <c r="C184" s="28" t="s">
        <v>23</v>
      </c>
      <c r="D184" s="28" t="s">
        <v>11</v>
      </c>
      <c r="E184" s="28" t="s">
        <v>20</v>
      </c>
      <c r="F184" s="31">
        <v>15</v>
      </c>
      <c r="G184" s="31">
        <v>800</v>
      </c>
      <c r="H184" s="31">
        <v>12000</v>
      </c>
      <c r="I184" s="33"/>
    </row>
    <row r="185" spans="1:9">
      <c r="A185" s="30">
        <v>45836</v>
      </c>
      <c r="B185" s="28" t="s">
        <v>375</v>
      </c>
      <c r="C185" s="28" t="s">
        <v>23</v>
      </c>
      <c r="D185" s="28" t="s">
        <v>11</v>
      </c>
      <c r="E185" s="28" t="s">
        <v>20</v>
      </c>
      <c r="F185" s="31">
        <v>32</v>
      </c>
      <c r="G185" s="31">
        <v>800</v>
      </c>
      <c r="H185" s="31">
        <v>25600</v>
      </c>
      <c r="I185" s="33"/>
    </row>
    <row r="186" spans="1:9">
      <c r="A186" s="30">
        <v>45775</v>
      </c>
      <c r="B186" s="28" t="s">
        <v>376</v>
      </c>
      <c r="C186" s="28" t="s">
        <v>10</v>
      </c>
      <c r="D186" s="28" t="s">
        <v>51</v>
      </c>
      <c r="E186" s="28" t="s">
        <v>72</v>
      </c>
      <c r="F186" s="31">
        <v>21</v>
      </c>
      <c r="G186" s="31">
        <v>1200</v>
      </c>
      <c r="H186" s="31">
        <v>25200</v>
      </c>
      <c r="I186" s="33"/>
    </row>
    <row r="187" spans="1:9">
      <c r="A187" s="30">
        <v>45754</v>
      </c>
      <c r="B187" s="28" t="s">
        <v>378</v>
      </c>
      <c r="C187" s="28" t="s">
        <v>23</v>
      </c>
      <c r="D187" s="28" t="s">
        <v>51</v>
      </c>
      <c r="E187" s="28" t="s">
        <v>30</v>
      </c>
      <c r="F187" s="31">
        <v>28</v>
      </c>
      <c r="G187" s="31">
        <v>25000</v>
      </c>
      <c r="H187" s="31">
        <v>700000</v>
      </c>
      <c r="I187" s="33"/>
    </row>
    <row r="188" spans="1:9">
      <c r="A188" s="30">
        <v>45789</v>
      </c>
      <c r="B188" s="28" t="s">
        <v>379</v>
      </c>
      <c r="C188" s="28" t="s">
        <v>23</v>
      </c>
      <c r="D188" s="28" t="s">
        <v>24</v>
      </c>
      <c r="E188" s="28" t="s">
        <v>38</v>
      </c>
      <c r="F188" s="31">
        <v>30</v>
      </c>
      <c r="G188" s="31">
        <v>15000</v>
      </c>
      <c r="H188" s="31">
        <v>450000</v>
      </c>
      <c r="I188" s="33"/>
    </row>
    <row r="189" spans="1:9">
      <c r="A189" s="30">
        <v>45967</v>
      </c>
      <c r="B189" s="28" t="s">
        <v>381</v>
      </c>
      <c r="C189" s="28" t="s">
        <v>23</v>
      </c>
      <c r="D189" s="28" t="s">
        <v>24</v>
      </c>
      <c r="E189" s="28" t="s">
        <v>38</v>
      </c>
      <c r="F189" s="31">
        <v>27</v>
      </c>
      <c r="G189" s="31">
        <v>30000</v>
      </c>
      <c r="H189" s="31">
        <v>810000</v>
      </c>
      <c r="I189" s="33"/>
    </row>
    <row r="190" spans="1:9">
      <c r="A190" s="30">
        <v>45822</v>
      </c>
      <c r="B190" s="28" t="s">
        <v>383</v>
      </c>
      <c r="C190" s="28" t="s">
        <v>23</v>
      </c>
      <c r="D190" s="28" t="s">
        <v>24</v>
      </c>
      <c r="E190" s="28" t="s">
        <v>46</v>
      </c>
      <c r="F190" s="31">
        <v>3</v>
      </c>
      <c r="G190" s="31">
        <v>30000</v>
      </c>
      <c r="H190" s="31">
        <v>90000</v>
      </c>
      <c r="I190" s="33"/>
    </row>
    <row r="191" spans="1:9">
      <c r="A191" s="30">
        <v>45873</v>
      </c>
      <c r="B191" s="28" t="s">
        <v>385</v>
      </c>
      <c r="C191" s="28" t="s">
        <v>10</v>
      </c>
      <c r="D191" s="28" t="s">
        <v>51</v>
      </c>
      <c r="E191" s="28" t="s">
        <v>38</v>
      </c>
      <c r="F191" s="31">
        <v>43</v>
      </c>
      <c r="G191" s="31">
        <v>1200</v>
      </c>
      <c r="H191" s="31">
        <v>51600</v>
      </c>
      <c r="I191" s="33"/>
    </row>
    <row r="192" spans="1:9">
      <c r="A192" s="30">
        <v>45751</v>
      </c>
      <c r="B192" s="28" t="s">
        <v>387</v>
      </c>
      <c r="C192" s="28" t="s">
        <v>19</v>
      </c>
      <c r="D192" s="28" t="s">
        <v>29</v>
      </c>
      <c r="E192" s="28" t="s">
        <v>33</v>
      </c>
      <c r="F192" s="31">
        <v>27</v>
      </c>
      <c r="G192" s="31">
        <v>1200</v>
      </c>
      <c r="H192" s="31">
        <v>32400</v>
      </c>
      <c r="I192" s="33"/>
    </row>
    <row r="193" spans="1:9">
      <c r="A193" s="30">
        <v>45774</v>
      </c>
      <c r="B193" s="28" t="s">
        <v>389</v>
      </c>
      <c r="C193" s="28" t="s">
        <v>15</v>
      </c>
      <c r="D193" s="28" t="s">
        <v>29</v>
      </c>
      <c r="E193" s="28" t="s">
        <v>16</v>
      </c>
      <c r="F193" s="31">
        <v>49</v>
      </c>
      <c r="G193" s="31">
        <v>50000</v>
      </c>
      <c r="H193" s="31">
        <v>2450000</v>
      </c>
      <c r="I193" s="33"/>
    </row>
    <row r="194" spans="1:9">
      <c r="A194" s="30">
        <v>45671</v>
      </c>
      <c r="B194" s="28" t="s">
        <v>391</v>
      </c>
      <c r="C194" s="28" t="s">
        <v>15</v>
      </c>
      <c r="D194" s="28" t="s">
        <v>24</v>
      </c>
      <c r="E194" s="28" t="s">
        <v>38</v>
      </c>
      <c r="F194" s="31">
        <v>25</v>
      </c>
      <c r="G194" s="31">
        <v>25000</v>
      </c>
      <c r="H194" s="31">
        <v>625000</v>
      </c>
      <c r="I194" s="33"/>
    </row>
    <row r="195" spans="1:9">
      <c r="A195" s="30">
        <v>45791</v>
      </c>
      <c r="B195" s="28" t="s">
        <v>393</v>
      </c>
      <c r="C195" s="28" t="s">
        <v>15</v>
      </c>
      <c r="D195" s="28" t="s">
        <v>29</v>
      </c>
      <c r="E195" s="28" t="s">
        <v>72</v>
      </c>
      <c r="F195" s="31">
        <v>35</v>
      </c>
      <c r="G195" s="31">
        <v>15000</v>
      </c>
      <c r="H195" s="31">
        <v>525000</v>
      </c>
      <c r="I195" s="33"/>
    </row>
    <row r="196" spans="1:9">
      <c r="A196" s="30">
        <v>45962</v>
      </c>
      <c r="B196" s="28" t="s">
        <v>395</v>
      </c>
      <c r="C196" s="28" t="s">
        <v>23</v>
      </c>
      <c r="D196" s="28" t="s">
        <v>29</v>
      </c>
      <c r="E196" s="28" t="s">
        <v>38</v>
      </c>
      <c r="F196" s="31">
        <v>24</v>
      </c>
      <c r="G196" s="31">
        <v>800</v>
      </c>
      <c r="H196" s="31">
        <v>19200</v>
      </c>
      <c r="I196" s="33"/>
    </row>
    <row r="197" spans="1:9">
      <c r="A197" s="30">
        <v>45775</v>
      </c>
      <c r="B197" s="28" t="s">
        <v>396</v>
      </c>
      <c r="C197" s="28" t="s">
        <v>19</v>
      </c>
      <c r="D197" s="28" t="s">
        <v>29</v>
      </c>
      <c r="E197" s="28" t="s">
        <v>12</v>
      </c>
      <c r="F197" s="31">
        <v>16</v>
      </c>
      <c r="G197" s="31">
        <v>1200</v>
      </c>
      <c r="H197" s="31">
        <v>19200</v>
      </c>
      <c r="I197" s="33"/>
    </row>
    <row r="198" spans="1:9">
      <c r="A198" s="30">
        <v>45703</v>
      </c>
      <c r="B198" s="28" t="s">
        <v>398</v>
      </c>
      <c r="C198" s="28" t="s">
        <v>15</v>
      </c>
      <c r="D198" s="28" t="s">
        <v>29</v>
      </c>
      <c r="E198" s="28" t="s">
        <v>46</v>
      </c>
      <c r="F198" s="31">
        <v>19</v>
      </c>
      <c r="G198" s="31">
        <v>30000</v>
      </c>
      <c r="H198" s="31">
        <v>570000</v>
      </c>
      <c r="I198" s="33"/>
    </row>
    <row r="199" spans="1:9">
      <c r="A199" s="30">
        <v>45836</v>
      </c>
      <c r="B199" s="28" t="s">
        <v>399</v>
      </c>
      <c r="C199" s="28" t="s">
        <v>23</v>
      </c>
      <c r="D199" s="28" t="s">
        <v>29</v>
      </c>
      <c r="E199" s="28" t="s">
        <v>72</v>
      </c>
      <c r="F199" s="31">
        <v>12</v>
      </c>
      <c r="G199" s="31">
        <v>800</v>
      </c>
      <c r="H199" s="31">
        <v>9600</v>
      </c>
      <c r="I199" s="33"/>
    </row>
    <row r="200" spans="1:9">
      <c r="A200" s="30">
        <v>45781</v>
      </c>
      <c r="B200" s="28" t="s">
        <v>400</v>
      </c>
      <c r="C200" s="28" t="s">
        <v>23</v>
      </c>
      <c r="D200" s="28" t="s">
        <v>51</v>
      </c>
      <c r="E200" s="28" t="s">
        <v>25</v>
      </c>
      <c r="F200" s="31">
        <v>23</v>
      </c>
      <c r="G200" s="31">
        <v>1200</v>
      </c>
      <c r="H200" s="31">
        <v>27600</v>
      </c>
      <c r="I200" s="33"/>
    </row>
    <row r="201" spans="1:9">
      <c r="A201" s="30">
        <v>45766</v>
      </c>
      <c r="B201" s="28" t="s">
        <v>402</v>
      </c>
      <c r="C201" s="28" t="s">
        <v>10</v>
      </c>
      <c r="D201" s="28" t="s">
        <v>24</v>
      </c>
      <c r="E201" s="28" t="s">
        <v>12</v>
      </c>
      <c r="F201" s="31">
        <v>5</v>
      </c>
      <c r="G201" s="31">
        <v>1200</v>
      </c>
      <c r="H201" s="31">
        <v>6000</v>
      </c>
      <c r="I201" s="33"/>
    </row>
    <row r="202" spans="1:9">
      <c r="A202" s="30">
        <v>45819</v>
      </c>
      <c r="B202" s="28" t="s">
        <v>403</v>
      </c>
      <c r="C202" s="28" t="s">
        <v>15</v>
      </c>
      <c r="D202" s="28" t="s">
        <v>11</v>
      </c>
      <c r="E202" s="28" t="s">
        <v>16</v>
      </c>
      <c r="F202" s="31">
        <v>44</v>
      </c>
      <c r="G202" s="31">
        <v>1200</v>
      </c>
      <c r="H202" s="31">
        <v>52800</v>
      </c>
      <c r="I202" s="33"/>
    </row>
    <row r="203" spans="1:9">
      <c r="A203" s="30">
        <v>45772</v>
      </c>
      <c r="B203" s="28" t="s">
        <v>405</v>
      </c>
      <c r="C203" s="28" t="s">
        <v>19</v>
      </c>
      <c r="D203" s="28" t="s">
        <v>24</v>
      </c>
      <c r="E203" s="28" t="s">
        <v>20</v>
      </c>
      <c r="F203" s="31">
        <v>46</v>
      </c>
      <c r="G203" s="31">
        <v>25000</v>
      </c>
      <c r="H203" s="31">
        <v>1150000</v>
      </c>
      <c r="I203" s="33"/>
    </row>
    <row r="204" spans="1:9">
      <c r="A204" s="33"/>
      <c r="B204" s="33"/>
      <c r="C204" s="33"/>
      <c r="D204" s="33"/>
      <c r="E204" s="33"/>
      <c r="F204" s="33"/>
      <c r="G204" s="33"/>
      <c r="H204" s="33"/>
      <c r="I204" s="33"/>
    </row>
    <row r="205" spans="1:9">
      <c r="A205" s="33"/>
      <c r="B205" s="33"/>
      <c r="C205" s="33"/>
      <c r="D205" s="33"/>
      <c r="E205" s="33"/>
      <c r="F205" s="33"/>
      <c r="G205" s="33"/>
      <c r="H205" s="33"/>
      <c r="I205" s="33"/>
    </row>
  </sheetData>
  <mergeCells count="1">
    <mergeCell ref="A1:H2"/>
  </mergeCells>
  <dataValidations count="1">
    <dataValidation type="list" allowBlank="1" showInputMessage="1" showErrorMessage="1" sqref="A3:H203" xr:uid="{5B50B230-B9A4-4906-9DA7-32CD9AF81721}">
      <formula1>$C$3:$C$203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A6A3-2AB3-4267-91F1-DBF68C7CD181}">
  <dimension ref="A1:P37"/>
  <sheetViews>
    <sheetView tabSelected="1" topLeftCell="B1" workbookViewId="0">
      <selection activeCell="Q12" sqref="Q12"/>
    </sheetView>
  </sheetViews>
  <sheetFormatPr defaultRowHeight="15"/>
  <cols>
    <col min="2" max="2" width="11.42578125" bestFit="1" customWidth="1"/>
    <col min="3" max="3" width="16.5703125" bestFit="1" customWidth="1"/>
    <col min="4" max="4" width="17.140625" bestFit="1" customWidth="1"/>
    <col min="5" max="5" width="7.42578125" bestFit="1" customWidth="1"/>
    <col min="6" max="6" width="15.28515625" bestFit="1" customWidth="1"/>
    <col min="7" max="7" width="16.5703125" bestFit="1" customWidth="1"/>
    <col min="8" max="9" width="17.140625" bestFit="1" customWidth="1"/>
    <col min="10" max="10" width="15.7109375" customWidth="1"/>
    <col min="11" max="11" width="10.140625" customWidth="1"/>
    <col min="12" max="12" width="17.140625" customWidth="1"/>
    <col min="13" max="15" width="9.5703125" bestFit="1" customWidth="1"/>
    <col min="16" max="16" width="21.5703125" bestFit="1" customWidth="1"/>
    <col min="17" max="17" width="22.140625" bestFit="1" customWidth="1"/>
    <col min="18" max="18" width="8.42578125" bestFit="1" customWidth="1"/>
    <col min="19" max="19" width="7.42578125" bestFit="1" customWidth="1"/>
    <col min="20" max="30" width="8.42578125" bestFit="1" customWidth="1"/>
    <col min="31" max="31" width="6.28515625" bestFit="1" customWidth="1"/>
    <col min="32" max="34" width="8.42578125" bestFit="1" customWidth="1"/>
    <col min="35" max="35" width="7.42578125" bestFit="1" customWidth="1"/>
    <col min="36" max="37" width="8.42578125" bestFit="1" customWidth="1"/>
    <col min="38" max="38" width="6.28515625" bestFit="1" customWidth="1"/>
    <col min="39" max="51" width="8.42578125" bestFit="1" customWidth="1"/>
    <col min="52" max="52" width="11.42578125" bestFit="1" customWidth="1"/>
  </cols>
  <sheetData>
    <row r="1" spans="1:16">
      <c r="A1" s="75" t="s">
        <v>434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33"/>
      <c r="O1" s="33"/>
      <c r="P1" s="33"/>
    </row>
    <row r="2" spans="1:16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33"/>
      <c r="O2" s="33"/>
      <c r="P2" s="33"/>
    </row>
    <row r="3" spans="1:16">
      <c r="A3" s="77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</row>
    <row r="4" spans="1:16">
      <c r="A4" s="33"/>
      <c r="B4" s="33"/>
      <c r="C4" s="33"/>
      <c r="D4" s="33"/>
      <c r="E4" s="33"/>
      <c r="F4" s="33"/>
      <c r="G4" s="87" t="s">
        <v>435</v>
      </c>
      <c r="H4" s="87"/>
      <c r="I4" s="33"/>
      <c r="J4" s="33"/>
      <c r="K4" s="33"/>
      <c r="L4" s="33"/>
      <c r="M4" s="33"/>
      <c r="N4" s="33"/>
      <c r="O4" s="33"/>
      <c r="P4" s="33"/>
    </row>
    <row r="5" spans="1:16">
      <c r="A5" s="33"/>
      <c r="B5" s="33"/>
      <c r="C5" s="33"/>
      <c r="D5" s="33"/>
      <c r="E5" s="33"/>
      <c r="F5" s="33"/>
      <c r="G5" s="87"/>
      <c r="H5" s="87"/>
      <c r="I5" s="33"/>
      <c r="J5" s="33"/>
      <c r="K5" s="33"/>
      <c r="L5" s="33"/>
      <c r="M5" s="33"/>
      <c r="N5" s="33"/>
      <c r="O5" s="33"/>
      <c r="P5" s="33"/>
    </row>
    <row r="6" spans="1:16">
      <c r="A6" s="33"/>
      <c r="B6" s="33"/>
      <c r="C6" s="33"/>
      <c r="D6" s="33"/>
      <c r="E6" s="33"/>
      <c r="F6" s="33"/>
      <c r="G6" s="76"/>
      <c r="I6" s="33"/>
      <c r="J6" s="33"/>
      <c r="K6" s="33"/>
      <c r="L6" s="33"/>
      <c r="M6" s="33"/>
      <c r="N6" s="33"/>
      <c r="O6" s="33"/>
      <c r="P6" s="33"/>
    </row>
    <row r="7" spans="1:16">
      <c r="A7" s="33"/>
      <c r="B7" s="33"/>
      <c r="C7" s="33"/>
      <c r="D7" s="33"/>
      <c r="E7" s="33"/>
      <c r="F7" s="33"/>
      <c r="I7" s="33"/>
      <c r="J7" s="33"/>
      <c r="K7" s="33"/>
      <c r="L7" s="33"/>
      <c r="M7" s="33"/>
      <c r="N7" s="33"/>
      <c r="O7" s="33"/>
      <c r="P7" s="33"/>
    </row>
    <row r="8" spans="1:16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</row>
    <row r="9" spans="1:16">
      <c r="A9" s="33"/>
      <c r="B9" s="33"/>
      <c r="C9" s="84" t="s">
        <v>436</v>
      </c>
      <c r="D9" s="78"/>
      <c r="E9" s="33"/>
      <c r="F9" s="82" t="s">
        <v>437</v>
      </c>
      <c r="G9" s="82"/>
      <c r="H9" s="82" t="s">
        <v>438</v>
      </c>
      <c r="I9" s="82"/>
      <c r="J9" s="33"/>
      <c r="K9" s="82" t="s">
        <v>439</v>
      </c>
      <c r="L9" s="82"/>
      <c r="M9" s="33"/>
      <c r="N9" s="33"/>
      <c r="O9" s="33"/>
      <c r="P9" s="33"/>
    </row>
    <row r="10" spans="1:16">
      <c r="A10" s="33"/>
      <c r="B10" s="33"/>
      <c r="C10" s="85">
        <f>D18</f>
        <v>109347886</v>
      </c>
      <c r="D10" s="79"/>
      <c r="E10" s="33"/>
      <c r="F10" s="86" t="str">
        <f>B14</f>
        <v>Accessories</v>
      </c>
      <c r="G10" s="86"/>
      <c r="H10" s="86" t="str">
        <f>F14</f>
        <v>Sonia</v>
      </c>
      <c r="I10" s="86"/>
      <c r="J10" s="33"/>
      <c r="K10" s="83" t="str">
        <f>TEXT(K14,"MMMM")</f>
        <v>September</v>
      </c>
      <c r="L10" s="83"/>
      <c r="M10" s="33"/>
      <c r="N10" s="33"/>
      <c r="O10" s="33"/>
      <c r="P10" s="33"/>
    </row>
    <row r="11" spans="1:16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6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</row>
    <row r="13" spans="1:16">
      <c r="A13" s="33"/>
      <c r="B13" s="2" t="s">
        <v>2</v>
      </c>
      <c r="C13" t="s">
        <v>440</v>
      </c>
      <c r="D13" t="s">
        <v>441</v>
      </c>
      <c r="E13" s="33"/>
      <c r="F13" s="2" t="s">
        <v>433</v>
      </c>
      <c r="G13" t="s">
        <v>440</v>
      </c>
      <c r="H13" t="s">
        <v>441</v>
      </c>
      <c r="I13" s="50" t="s">
        <v>2</v>
      </c>
      <c r="J13" s="78"/>
      <c r="K13" s="2" t="s">
        <v>0</v>
      </c>
      <c r="L13" t="s">
        <v>441</v>
      </c>
      <c r="M13" s="33"/>
      <c r="N13" s="81"/>
      <c r="O13" s="33"/>
      <c r="P13" s="33"/>
    </row>
    <row r="14" spans="1:16">
      <c r="A14" s="33"/>
      <c r="B14" t="s">
        <v>15</v>
      </c>
      <c r="C14" s="4">
        <v>1508</v>
      </c>
      <c r="D14" s="4">
        <v>39832090</v>
      </c>
      <c r="E14" s="33"/>
      <c r="F14" t="s">
        <v>20</v>
      </c>
      <c r="G14" s="4">
        <v>916</v>
      </c>
      <c r="H14" s="4">
        <v>22821350</v>
      </c>
      <c r="J14" s="33"/>
      <c r="K14" s="3">
        <v>45901</v>
      </c>
      <c r="L14" s="4">
        <v>3094958</v>
      </c>
      <c r="M14" s="33"/>
      <c r="N14" s="33"/>
      <c r="O14" s="33"/>
      <c r="P14" s="33"/>
    </row>
    <row r="15" spans="1:16">
      <c r="A15" s="33"/>
      <c r="B15" t="s">
        <v>19</v>
      </c>
      <c r="C15" s="4">
        <v>1161</v>
      </c>
      <c r="D15" s="4">
        <v>25853147</v>
      </c>
      <c r="E15" s="33"/>
      <c r="F15" t="s">
        <v>38</v>
      </c>
      <c r="G15" s="4">
        <v>834</v>
      </c>
      <c r="H15" s="4">
        <v>18153649</v>
      </c>
      <c r="J15" s="33"/>
      <c r="K15" s="3">
        <v>45703</v>
      </c>
      <c r="L15" s="4">
        <v>3065000</v>
      </c>
      <c r="M15" s="33"/>
      <c r="N15" s="33"/>
      <c r="O15" s="33"/>
      <c r="P15" s="33"/>
    </row>
    <row r="16" spans="1:16">
      <c r="A16" s="33"/>
      <c r="B16" t="s">
        <v>23</v>
      </c>
      <c r="C16" s="4">
        <v>1225</v>
      </c>
      <c r="D16" s="4">
        <v>24246811</v>
      </c>
      <c r="E16" s="33"/>
      <c r="F16" t="s">
        <v>30</v>
      </c>
      <c r="G16" s="4">
        <v>544</v>
      </c>
      <c r="H16" s="4">
        <v>15433301</v>
      </c>
      <c r="J16" s="33"/>
      <c r="K16" s="3">
        <v>45780</v>
      </c>
      <c r="L16" s="4">
        <v>3045400</v>
      </c>
      <c r="M16" s="33"/>
      <c r="N16" s="33"/>
      <c r="O16" s="33"/>
      <c r="P16" s="33"/>
    </row>
    <row r="17" spans="1:16">
      <c r="A17" s="33"/>
      <c r="B17" t="s">
        <v>10</v>
      </c>
      <c r="C17" s="4">
        <v>1163</v>
      </c>
      <c r="D17" s="4">
        <v>19415838</v>
      </c>
      <c r="E17" s="33"/>
      <c r="F17" t="s">
        <v>16</v>
      </c>
      <c r="G17" s="4">
        <v>526</v>
      </c>
      <c r="H17" s="4">
        <v>11186200</v>
      </c>
      <c r="J17" s="33"/>
      <c r="K17" s="3">
        <v>45742</v>
      </c>
      <c r="L17" s="4">
        <v>2849549</v>
      </c>
      <c r="M17" s="33"/>
      <c r="N17" s="33"/>
      <c r="O17" s="33"/>
      <c r="P17" s="33"/>
    </row>
    <row r="18" spans="1:16">
      <c r="A18" s="33"/>
      <c r="B18" t="s">
        <v>422</v>
      </c>
      <c r="C18" s="4">
        <v>5057</v>
      </c>
      <c r="D18" s="4">
        <v>109347886</v>
      </c>
      <c r="E18" s="33"/>
      <c r="F18" t="s">
        <v>33</v>
      </c>
      <c r="G18" s="4">
        <v>495</v>
      </c>
      <c r="H18" s="4">
        <v>9969546</v>
      </c>
      <c r="J18" s="33"/>
      <c r="K18" s="3">
        <v>45701</v>
      </c>
      <c r="L18" s="4">
        <v>2825000</v>
      </c>
      <c r="M18" s="33"/>
      <c r="N18" s="33"/>
      <c r="O18" s="33"/>
      <c r="P18" s="33"/>
    </row>
    <row r="19" spans="1:16">
      <c r="A19" s="33"/>
      <c r="B19" s="33"/>
      <c r="C19" s="33"/>
      <c r="D19" s="33"/>
      <c r="E19" s="33"/>
      <c r="F19" t="s">
        <v>61</v>
      </c>
      <c r="G19" s="4">
        <v>376</v>
      </c>
      <c r="H19" s="4">
        <v>11544600</v>
      </c>
      <c r="J19" s="33"/>
      <c r="K19" s="33"/>
      <c r="L19" s="33"/>
      <c r="M19" s="33"/>
      <c r="N19" s="33"/>
      <c r="O19" s="33"/>
      <c r="P19" s="33"/>
    </row>
    <row r="20" spans="1:16">
      <c r="A20" s="33"/>
      <c r="B20" s="33"/>
      <c r="C20" s="33"/>
      <c r="D20" s="33"/>
      <c r="E20" s="33"/>
      <c r="J20" s="33"/>
      <c r="N20" s="33"/>
      <c r="O20" s="33"/>
      <c r="P20" s="33"/>
    </row>
    <row r="21" spans="1:16">
      <c r="A21" s="33"/>
      <c r="B21" s="33"/>
      <c r="C21" s="33"/>
      <c r="D21" s="33"/>
      <c r="E21" s="33"/>
      <c r="J21" s="33"/>
      <c r="N21" s="33"/>
      <c r="O21" s="33"/>
      <c r="P21" s="33"/>
    </row>
    <row r="22" spans="1:16">
      <c r="A22" s="33"/>
      <c r="B22" s="33"/>
      <c r="C22" s="33"/>
      <c r="D22" s="33"/>
      <c r="E22" s="33"/>
      <c r="J22" s="33"/>
      <c r="N22" s="33"/>
      <c r="O22" s="33"/>
      <c r="P22" s="33"/>
    </row>
    <row r="23" spans="1:16">
      <c r="A23" s="33"/>
      <c r="B23" s="33"/>
      <c r="C23" s="33"/>
      <c r="D23" s="33"/>
      <c r="E23" s="33"/>
      <c r="J23" s="33"/>
      <c r="N23" s="33"/>
      <c r="O23" s="33"/>
      <c r="P23" s="33"/>
    </row>
    <row r="24" spans="1:16">
      <c r="A24" s="33"/>
      <c r="B24" s="33"/>
      <c r="C24" s="33"/>
      <c r="D24" s="33"/>
      <c r="E24" s="33"/>
      <c r="J24" s="33"/>
      <c r="N24" s="33"/>
      <c r="O24" s="33"/>
      <c r="P24" s="33"/>
    </row>
    <row r="25" spans="1:16">
      <c r="A25" s="33"/>
      <c r="B25" s="33"/>
      <c r="C25" s="33"/>
      <c r="D25" s="33"/>
      <c r="E25" s="33"/>
      <c r="J25" s="33"/>
      <c r="N25" s="33"/>
      <c r="O25" s="33"/>
      <c r="P25" s="33"/>
    </row>
    <row r="26" spans="1:16">
      <c r="A26" s="33"/>
      <c r="B26" s="33"/>
      <c r="C26" s="33"/>
      <c r="D26" s="33"/>
      <c r="E26" s="33"/>
      <c r="J26" s="33"/>
      <c r="N26" s="33"/>
      <c r="O26" s="33"/>
      <c r="P26" s="33"/>
    </row>
    <row r="27" spans="1:16">
      <c r="A27" s="33"/>
      <c r="B27" s="33"/>
      <c r="C27" s="33"/>
      <c r="D27" s="33"/>
      <c r="E27" s="33"/>
      <c r="J27" s="33"/>
      <c r="N27" s="33"/>
      <c r="O27" s="33"/>
      <c r="P27" s="33"/>
    </row>
    <row r="28" spans="1:16">
      <c r="A28" s="33"/>
      <c r="B28" s="33"/>
      <c r="C28" s="33"/>
      <c r="D28" s="33"/>
      <c r="E28" s="33"/>
      <c r="J28" s="33"/>
      <c r="N28" s="33"/>
      <c r="O28" s="33"/>
      <c r="P28" s="33"/>
    </row>
    <row r="29" spans="1:16">
      <c r="A29" s="33"/>
      <c r="B29" s="33"/>
      <c r="C29" s="33"/>
      <c r="D29" s="33"/>
      <c r="E29" s="33"/>
      <c r="J29" s="33"/>
      <c r="N29" s="33"/>
      <c r="O29" s="33"/>
      <c r="P29" s="33"/>
    </row>
    <row r="30" spans="1:16">
      <c r="A30" s="33"/>
      <c r="B30" s="33"/>
      <c r="C30" s="33"/>
      <c r="D30" s="33"/>
      <c r="E30" s="33"/>
      <c r="J30" s="33"/>
      <c r="N30" s="33"/>
      <c r="O30" s="33"/>
      <c r="P30" s="33"/>
    </row>
    <row r="31" spans="1:16">
      <c r="A31" s="33"/>
      <c r="B31" s="33"/>
      <c r="C31" s="33"/>
      <c r="D31" s="33"/>
      <c r="E31" s="33"/>
      <c r="J31" s="33"/>
      <c r="N31" s="33"/>
      <c r="O31" s="33"/>
      <c r="P31" s="33"/>
    </row>
    <row r="32" spans="1:16">
      <c r="A32" s="33"/>
      <c r="B32" s="33"/>
      <c r="C32" s="33"/>
      <c r="D32" s="33"/>
      <c r="E32" s="33"/>
      <c r="J32" s="33"/>
      <c r="N32" s="33"/>
      <c r="O32" s="33"/>
      <c r="P32" s="33"/>
    </row>
    <row r="33" spans="1:16">
      <c r="A33" s="33"/>
      <c r="B33" s="33"/>
      <c r="C33" s="33"/>
      <c r="D33" s="33"/>
      <c r="E33" s="33"/>
      <c r="J33" s="33"/>
      <c r="N33" s="33"/>
      <c r="O33" s="33"/>
      <c r="P33" s="33"/>
    </row>
    <row r="34" spans="1:16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 spans="1:16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</row>
    <row r="36" spans="1:1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</row>
    <row r="37" spans="1:16">
      <c r="E37" s="80"/>
      <c r="J37" s="80"/>
    </row>
  </sheetData>
  <mergeCells count="8">
    <mergeCell ref="A1:M2"/>
    <mergeCell ref="G4:H5"/>
    <mergeCell ref="F9:G9"/>
    <mergeCell ref="F10:G10"/>
    <mergeCell ref="H9:I9"/>
    <mergeCell ref="H10:I10"/>
    <mergeCell ref="K10:L10"/>
    <mergeCell ref="K9:L9"/>
  </mergeCells>
  <pageMargins left="0.7" right="0.7" top="0.75" bottom="0.75" header="0.3" footer="0.3"/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9E2509-B240-4037-8F21-26FF5ABF610C}">
          <x14:formula1>
            <xm:f>'Corrected Table'!$C$4:$C$203</xm:f>
          </x14:formula1>
          <xm:sqref>K14</xm:sqref>
        </x14:dataValidation>
      </x14:dataValidations>
    </ext>
    <ext xmlns:x14="http://schemas.microsoft.com/office/spreadsheetml/2009/9/main" uri="{A8765BA9-456A-4dab-B4F3-ACF838C121DE}">
      <x14:slicerList>
        <x14:slicer r:id="rId5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2025-10-12T06:21:03Z</dcterms:created>
  <dcterms:modified xsi:type="dcterms:W3CDTF">2025-10-12T16:26:15Z</dcterms:modified>
  <cp:category/>
  <cp:contentStatus/>
</cp:coreProperties>
</file>